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s" sheetId="2" state="visible" r:id="rId2"/>
    <sheet xmlns:r="http://schemas.openxmlformats.org/officeDocument/2006/relationships" name="Evidence" sheetId="3" state="visible" r:id="rId3"/>
    <sheet xmlns:r="http://schemas.openxmlformats.org/officeDocument/2006/relationships" name="Fix Roadmap" sheetId="4" state="visible" r:id="rId4"/>
  </sheets>
  <definedNames>
    <definedName name="_xlnm._FilterDatabase" localSheetId="1" hidden="1">'Issues'!$A$1:$T$31</definedName>
    <definedName name="_xlnm._FilterDatabase" localSheetId="2" hidden="1">'Evidence'!$A$4:$F$55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A2E"/>
      <sz val="14"/>
    </font>
    <font>
      <name val="Arial"/>
      <color rgb="00666666"/>
      <sz val="9"/>
    </font>
    <font>
      <name val="Arial"/>
      <b val="1"/>
      <sz val="10"/>
    </font>
    <font>
      <name val="Arial"/>
      <b val="1"/>
      <color rgb="00FFFFFF"/>
      <sz val="10"/>
    </font>
    <font>
      <name val="Arial"/>
      <sz val="10"/>
    </font>
  </fonts>
  <fills count="8">
    <fill>
      <patternFill/>
    </fill>
    <fill>
      <patternFill patternType="gray125"/>
    </fill>
    <fill>
      <patternFill patternType="solid">
        <fgColor rgb="001F3A2E"/>
      </patternFill>
    </fill>
    <fill>
      <patternFill patternType="solid">
        <fgColor rgb="00F8D7DA"/>
      </patternFill>
    </fill>
    <fill>
      <patternFill patternType="solid">
        <fgColor rgb="00FCE8CD"/>
      </patternFill>
    </fill>
    <fill>
      <patternFill patternType="solid">
        <fgColor rgb="00FFF6CC"/>
      </patternFill>
    </fill>
    <fill>
      <patternFill patternType="solid">
        <fgColor rgb="00E2EFDA"/>
      </patternFill>
    </fill>
    <fill>
      <patternFill patternType="solid">
        <fgColor rgb="00EDEDE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3" borderId="1" pivotButton="0" quotePrefix="0" xfId="0"/>
    <xf numFmtId="0" fontId="5" fillId="0" borderId="1" pivotButton="0" quotePrefix="0" xfId="0"/>
    <xf numFmtId="0" fontId="5" fillId="0" borderId="1" applyAlignment="1" pivotButton="0" quotePrefix="0" xfId="0">
      <alignment vertical="top" wrapText="1"/>
    </xf>
    <xf numFmtId="0" fontId="5" fillId="4" borderId="1" pivotButton="0" quotePrefix="0" xfId="0"/>
    <xf numFmtId="0" fontId="5" fillId="5" borderId="1" pivotButton="0" quotePrefix="0" xfId="0"/>
    <xf numFmtId="0" fontId="5" fillId="6" borderId="1" pivotButton="0" quotePrefix="0" xfId="0"/>
    <xf numFmtId="0" fontId="3" fillId="0" borderId="1"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4" fillId="2" borderId="1" applyAlignment="1" pivotButton="0" quotePrefix="0" xfId="0">
      <alignment horizontal="left" vertical="center" wrapText="1"/>
    </xf>
    <xf numFmtId="0" fontId="3"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22" customWidth="1" min="1" max="1"/>
    <col width="12" customWidth="1" min="2" max="2"/>
    <col width="95" customWidth="1" min="3" max="3"/>
    <col width="14" customWidth="1" min="4" max="4"/>
    <col width="14" customWidth="1" min="5" max="5"/>
    <col width="14" customWidth="1" min="6" max="6"/>
  </cols>
  <sheetData>
    <row r="1">
      <c r="A1" s="1" t="inlineStr">
        <is>
          <t>SEO &amp; AEO Audit - Start Planting (startplanting.org)</t>
        </is>
      </c>
    </row>
    <row r="2">
      <c r="A2" s="2" t="inlineStr">
        <is>
          <t>Scope: fundraisers webapp (Next.js 15 App Router) + live production site. Audited 2026-08-06. No code was changed.</t>
        </is>
      </c>
    </row>
    <row r="3">
      <c r="A3" s="2" t="inlineStr">
        <is>
          <t>Tools: Lighthouse 12 CLI (mobile), curl header + HTML inspection, source review of src/. All figures on the Evidence tab are measured, not estimated.</t>
        </is>
      </c>
    </row>
    <row r="5">
      <c r="A5" s="3" t="inlineStr">
        <is>
          <t>Issues by severity</t>
        </is>
      </c>
    </row>
    <row r="6">
      <c r="A6" s="4" t="inlineStr">
        <is>
          <t>Severity</t>
        </is>
      </c>
      <c r="B6" s="4" t="inlineStr">
        <is>
          <t>Count</t>
        </is>
      </c>
      <c r="C6" s="4" t="inlineStr">
        <is>
          <t>Meaning</t>
        </is>
      </c>
    </row>
    <row r="7">
      <c r="A7" s="5" t="inlineStr">
        <is>
          <t>P0 - Critical</t>
        </is>
      </c>
      <c r="B7" s="6">
        <f>COUNTIF(Issues!$B$2:$B$31,A7)</f>
        <v/>
      </c>
      <c r="C7" s="7" t="inlineStr">
        <is>
          <t>Actively blocking indexing, causing wrong status codes, or failing a Core Web Vital badly. Fix first.</t>
        </is>
      </c>
    </row>
    <row r="8">
      <c r="A8" s="8" t="inlineStr">
        <is>
          <t>P1 - High</t>
        </is>
      </c>
      <c r="B8" s="6">
        <f>COUNTIF(Issues!$B$2:$B$31,A8)</f>
        <v/>
      </c>
      <c r="C8" s="7" t="inlineStr">
        <is>
          <t>Material loss of ranking, click-through or machine readability. Fix within the first two sprints.</t>
        </is>
      </c>
    </row>
    <row r="9">
      <c r="A9" s="9" t="inlineStr">
        <is>
          <t>P2 - Medium</t>
        </is>
      </c>
      <c r="B9" s="6">
        <f>COUNTIF(Issues!$B$2:$B$31,A9)</f>
        <v/>
      </c>
      <c r="C9" s="7" t="inlineStr">
        <is>
          <t>Real improvement, no active harm. Schedule normally.</t>
        </is>
      </c>
    </row>
    <row r="10">
      <c r="A10" s="10" t="inlineStr">
        <is>
          <t>P3 - Low</t>
        </is>
      </c>
      <c r="B10" s="6">
        <f>COUNTIF(Issues!$B$2:$B$31,A10)</f>
        <v/>
      </c>
      <c r="C10" s="7" t="inlineStr">
        <is>
          <t>Mostly AEO and content-lifecycle work. High long-term value, no urgency.</t>
        </is>
      </c>
    </row>
    <row r="11">
      <c r="A11" s="11" t="inlineStr">
        <is>
          <t>Total</t>
        </is>
      </c>
      <c r="B11" s="11">
        <f>SUM(B7:B10)</f>
        <v/>
      </c>
    </row>
    <row r="13">
      <c r="A13" s="3" t="inlineStr">
        <is>
          <t>Issues by category</t>
        </is>
      </c>
    </row>
    <row r="14">
      <c r="A14" s="4" t="inlineStr">
        <is>
          <t>Category</t>
        </is>
      </c>
      <c r="B14" s="4" t="inlineStr">
        <is>
          <t>Count</t>
        </is>
      </c>
    </row>
    <row r="15">
      <c r="A15" s="6" t="inlineStr">
        <is>
          <t>Technical SEO</t>
        </is>
      </c>
      <c r="B15" s="6">
        <f>COUNTIF(Issues!$C$2:$C$31,A15)</f>
        <v/>
      </c>
    </row>
    <row r="16">
      <c r="A16" s="6" t="inlineStr">
        <is>
          <t>International SEO</t>
        </is>
      </c>
      <c r="B16" s="6">
        <f>COUNTIF(Issues!$C$2:$C$31,A16)</f>
        <v/>
      </c>
    </row>
    <row r="17">
      <c r="A17" s="6" t="inlineStr">
        <is>
          <t>On-page SEO</t>
        </is>
      </c>
      <c r="B17" s="6">
        <f>COUNTIF(Issues!$C$2:$C$31,A17)</f>
        <v/>
      </c>
    </row>
    <row r="18">
      <c r="A18" s="6" t="inlineStr">
        <is>
          <t>Structured Data</t>
        </is>
      </c>
      <c r="B18" s="6">
        <f>COUNTIF(Issues!$C$2:$C$31,A18)</f>
        <v/>
      </c>
    </row>
    <row r="19">
      <c r="A19" s="6" t="inlineStr">
        <is>
          <t>AEO / AI visibility</t>
        </is>
      </c>
      <c r="B19" s="6">
        <f>COUNTIF(Issues!$C$2:$C$31,A19)</f>
        <v/>
      </c>
    </row>
    <row r="20">
      <c r="A20" s="6" t="inlineStr">
        <is>
          <t>Performance &amp; CWV</t>
        </is>
      </c>
      <c r="B20" s="6">
        <f>COUNTIF(Issues!$C$2:$C$31,A20)</f>
        <v/>
      </c>
    </row>
    <row r="21">
      <c r="A21" s="6" t="inlineStr">
        <is>
          <t>Accessibility</t>
        </is>
      </c>
      <c r="B21" s="6">
        <f>COUNTIF(Issues!$C$2:$C$31,A21)</f>
        <v/>
      </c>
    </row>
    <row r="22">
      <c r="A22" s="6" t="inlineStr">
        <is>
          <t>Security &amp; Trust</t>
        </is>
      </c>
      <c r="B22" s="6">
        <f>COUNTIF(Issues!$C$2:$C$31,A22)</f>
        <v/>
      </c>
    </row>
    <row r="23">
      <c r="A23" s="6" t="inlineStr">
        <is>
          <t>Measurement</t>
        </is>
      </c>
      <c r="B23" s="6">
        <f>COUNTIF(Issues!$C$2:$C$31,A23)</f>
        <v/>
      </c>
    </row>
    <row r="24">
      <c r="A24" s="6" t="inlineStr">
        <is>
          <t>Content</t>
        </is>
      </c>
      <c r="B24" s="6">
        <f>COUNTIF(Issues!$C$2:$C$31,A24)</f>
        <v/>
      </c>
    </row>
    <row r="25">
      <c r="A25" s="11" t="inlineStr">
        <is>
          <t>Total</t>
        </is>
      </c>
      <c r="B25" s="11">
        <f>SUM(B15:B24)</f>
        <v/>
      </c>
    </row>
    <row r="27">
      <c r="A27" s="3" t="inlineStr">
        <is>
          <t>The five that matter most</t>
        </is>
      </c>
    </row>
    <row r="28">
      <c r="A28" s="3" t="inlineStr">
        <is>
          <t>SEO-01</t>
        </is>
      </c>
      <c r="B28" s="12" t="inlineStr">
        <is>
          <t>No sitemap. Only 6 of the platform's fundraiser URLs are reachable by a crawler.</t>
        </is>
      </c>
    </row>
    <row r="29">
      <c r="A29" s="3" t="inlineStr">
        <is>
          <t>SEO-02 / SEO-03</t>
        </is>
      </c>
      <c r="B29" s="12" t="inlineStr">
        <is>
          <t>Bogus fundraiser and category URLs return HTTP 200, creating soft 404s and an unbounded indexable URL space.</t>
        </is>
      </c>
    </row>
    <row r="30">
      <c r="A30" s="3" t="inlineStr">
        <is>
          <t>SEO-04</t>
        </is>
      </c>
      <c r="B30" s="12" t="inlineStr">
        <is>
          <t>German and English share one URL with one canonical and no hreflang, so the DE half of the product cannot rank.</t>
        </is>
      </c>
    </row>
    <row r="31">
      <c r="A31" s="3" t="inlineStr">
        <is>
          <t>PERF-01</t>
        </is>
      </c>
      <c r="B31" s="12" t="inlineStr">
        <is>
          <t>The donation page's hero image is the LCP element and is hardcoded loading='lazy'. Measured LCP: 10.9 s.</t>
        </is>
      </c>
    </row>
    <row r="32">
      <c r="A32" s="3" t="inlineStr">
        <is>
          <t>AEO-01 / AEO-06</t>
        </is>
      </c>
      <c r="B32" s="12" t="inlineStr">
        <is>
          <t>Zero structured data and no entity identity, so AI answer engines have nothing to cite Start Planting for.</t>
        </is>
      </c>
    </row>
    <row r="35">
      <c r="A35" s="13" t="inlineStr">
        <is>
          <t>Note on Lighthouse: the SEO category scores 100/100 on both audited templates. That score checks only tags and crawlability basics. It does not test status codes on invalid URLs, hreflang, structured data, or sitemap existence, which is where every P0 in this log lives.</t>
        </is>
      </c>
    </row>
    <row r="36"/>
    <row r="37"/>
  </sheetData>
  <mergeCells count="1">
    <mergeCell ref="A35:F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20" customWidth="1" min="3" max="3"/>
    <col width="24" customWidth="1" min="4" max="4"/>
    <col width="22" customWidth="1" min="5" max="5"/>
    <col width="34" customWidth="1" min="6" max="6"/>
    <col width="46" customWidth="1" min="7" max="7"/>
    <col width="52" customWidth="1" min="8" max="8"/>
    <col width="46" customWidth="1" min="9" max="9"/>
    <col width="44" customWidth="1" min="10" max="10"/>
    <col width="66" customWidth="1" min="11" max="11"/>
    <col width="46" customWidth="1" min="12" max="12"/>
    <col width="40" customWidth="1" min="13" max="13"/>
    <col width="46" customWidth="1" min="14" max="14"/>
    <col width="46" customWidth="1" min="15" max="15"/>
    <col width="42" customWidth="1" min="16" max="16"/>
    <col width="8" customWidth="1" min="17" max="17"/>
    <col width="24" customWidth="1" min="18" max="18"/>
    <col width="12" customWidth="1" min="19" max="19"/>
    <col width="11" customWidth="1" min="20" max="20"/>
  </cols>
  <sheetData>
    <row r="1" ht="34" customHeight="1">
      <c r="A1" s="14" t="inlineStr">
        <is>
          <t>ID</t>
        </is>
      </c>
      <c r="B1" s="14" t="inlineStr">
        <is>
          <t>Severity</t>
        </is>
      </c>
      <c r="C1" s="14" t="inlineStr">
        <is>
          <t>Category</t>
        </is>
      </c>
      <c r="D1" s="14" t="inlineStr">
        <is>
          <t>Sub-area</t>
        </is>
      </c>
      <c r="E1" s="14" t="inlineStr">
        <is>
          <t>Page / Scope</t>
        </is>
      </c>
      <c r="F1" s="14" t="inlineStr">
        <is>
          <t>Example URL</t>
        </is>
      </c>
      <c r="G1" s="14" t="inlineStr">
        <is>
          <t>Issue</t>
        </is>
      </c>
      <c r="H1" s="14" t="inlineStr">
        <is>
          <t>Evidence (measured 2026-08-06)</t>
        </is>
      </c>
      <c r="I1" s="14" t="inlineStr">
        <is>
          <t>Root Cause</t>
        </is>
      </c>
      <c r="J1" s="14" t="inlineStr">
        <is>
          <t>Where to Change (file : line)</t>
        </is>
      </c>
      <c r="K1" s="14" t="inlineStr">
        <is>
          <t>Suggested Fix</t>
        </is>
      </c>
      <c r="L1" s="14" t="inlineStr">
        <is>
          <t>Where to Expect the Change (observable)</t>
        </is>
      </c>
      <c r="M1" s="14" t="inlineStr">
        <is>
          <t>How to Verify</t>
        </is>
      </c>
      <c r="N1" s="14" t="inlineStr">
        <is>
          <t>Impact if Fixed - SEO</t>
        </is>
      </c>
      <c r="O1" s="14" t="inlineStr">
        <is>
          <t>Impact if Fixed - AEO / AI answers</t>
        </is>
      </c>
      <c r="P1" s="14" t="inlineStr">
        <is>
          <t>Risk if Not Fixed</t>
        </is>
      </c>
      <c r="Q1" s="14" t="inlineStr">
        <is>
          <t>Effort</t>
        </is>
      </c>
      <c r="R1" s="14" t="inlineStr">
        <is>
          <t>Depends On</t>
        </is>
      </c>
      <c r="S1" s="14" t="inlineStr">
        <is>
          <t>Owner</t>
        </is>
      </c>
      <c r="T1" s="14" t="inlineStr">
        <is>
          <t>Status</t>
        </is>
      </c>
    </row>
    <row r="2" ht="118" customHeight="1">
      <c r="A2" s="15" t="inlineStr">
        <is>
          <t>SEO-01</t>
        </is>
      </c>
      <c r="B2" s="16" t="inlineStr">
        <is>
          <t>P0 - Critical</t>
        </is>
      </c>
      <c r="C2" s="7" t="inlineStr">
        <is>
          <t>Technical SEO</t>
        </is>
      </c>
      <c r="D2" s="7" t="inlineStr">
        <is>
          <t>Crawlability</t>
        </is>
      </c>
      <c r="E2" s="7" t="inlineStr">
        <is>
          <t>Site-wide</t>
        </is>
      </c>
      <c r="F2" s="7" t="inlineStr">
        <is>
          <t>https://www.startplanting.org/sitemap.xml</t>
        </is>
      </c>
      <c r="G2" s="7" t="inlineStr">
        <is>
          <t>No XML sitemap exists. /sitemap.xml returns HTTP 404 and robots.txt carries no Sitemap: directive.</t>
        </is>
      </c>
      <c r="H2" s="7" t="inlineStr">
        <is>
          <t>curl /sitemap.xml -&gt; 404 (text/html). robots.txt body has 4 lines, no Sitemap line. Only 6 fundraiser URLs are reachable from internal links across the whole site.</t>
        </is>
      </c>
      <c r="I2" s="7" t="inlineStr">
        <is>
          <t>No src/app/sitemap.ts route exists in the App Router. robots.ts never emits a sitemap pointer.</t>
        </is>
      </c>
      <c r="J2" s="7" t="inlineStr">
        <is>
          <t>CREATE src/app/sitemap.ts (Next.js MetadataRoute.Sitemap); UPDATE src/app/robots.ts:14-23 to add sitemap field</t>
        </is>
      </c>
      <c r="K2" s="7" t="inlineStr">
        <is>
          <t>Generate a sitemap from the fundraiser + category APIs: list /explore, every /explore/[category], and every public fundraiser /raise/[slug] with lastModified from the fundraiser updatedAt. Exclude non-public, draft and noindex pages. Add sitemap: 'https://www.startplanting.org/sitemap.xml' to the robots.ts return so it appears in robots.txt.</t>
        </is>
      </c>
      <c r="L2" s="7" t="inlineStr">
        <is>
          <t>https://www.startplanting.org/sitemap.xml returns valid XML with one &lt;url&gt; per public fundraiser; robots.txt gains a Sitemap: line; Search Console &gt; Sitemaps shows 'Success' and a rising Discovered URL count.</t>
        </is>
      </c>
      <c r="M2" s="7" t="inlineStr">
        <is>
          <t>curl -I https://www.startplanting.org/sitemap.xml (expect 200 application/xml); Google Search Console &gt; Sitemaps &gt; Submit; GSC &gt; Pages &gt; Indexed count over 2-4 weeks.</t>
        </is>
      </c>
      <c r="N2" s="7" t="inlineStr">
        <is>
          <t>Highest-leverage crawl fix. Fundraisers currently rely on 6 hand-picked internal links for discovery; every other campaign is effectively invisible to Google. Expect indexed page count to grow from single digits to the full campaign catalogue.</t>
        </is>
      </c>
      <c r="O2" s="7" t="inlineStr">
        <is>
          <t>AI crawlers (GPTBot, ClaudeBot, PerplexityBot) use sitemaps as a primary discovery surface. Without one, only the same 6 campaigns can ever be cited.</t>
        </is>
      </c>
      <c r="P2" s="7" t="inlineStr">
        <is>
          <t>New fundraisers may never be indexed. Hosts who launch a campaign and search for it on Google will not find it, which undermines trust in the platform.</t>
        </is>
      </c>
      <c r="Q2" s="7" t="inlineStr">
        <is>
          <t>M</t>
        </is>
      </c>
      <c r="R2" s="7" t="inlineStr">
        <is>
          <t>-</t>
        </is>
      </c>
      <c r="S2" s="7" t="inlineStr"/>
      <c r="T2" s="7" t="inlineStr">
        <is>
          <t>Open</t>
        </is>
      </c>
    </row>
    <row r="3" ht="118" customHeight="1">
      <c r="A3" s="15" t="inlineStr">
        <is>
          <t>SEO-02</t>
        </is>
      </c>
      <c r="B3" s="16" t="inlineStr">
        <is>
          <t>P0 - Critical</t>
        </is>
      </c>
      <c r="C3" s="7" t="inlineStr">
        <is>
          <t>Technical SEO</t>
        </is>
      </c>
      <c r="D3" s="7" t="inlineStr">
        <is>
          <t>Status codes</t>
        </is>
      </c>
      <c r="E3" s="7" t="inlineStr">
        <is>
          <t>Fundraiser detail</t>
        </is>
      </c>
      <c r="F3" s="7" t="inlineStr">
        <is>
          <t>https://www.startplanting.org/raise/no-such-fundraiser-xyz</t>
        </is>
      </c>
      <c r="G3" s="7" t="inlineStr">
        <is>
          <t>Soft 404: a non-existent fundraiser slug returns HTTP 200 with an almost empty body and the fallback title 'Fundraiser'.</t>
        </is>
      </c>
      <c r="H3" s="7" t="inlineStr">
        <is>
          <t>curl -o /dev/null -w '%{http_code}' /raise/no-such-fundraiser-xyz -&gt; 200. Rendered body contains only the header and footer chrome; &lt;title&gt;Fundraiser&lt;/title&gt;; no &lt;meta robots&gt;.</t>
        </is>
      </c>
      <c r="I3" s="7" t="inlineStr">
        <is>
          <t>page.tsx catches PlatformAPIError 401/403/404 and returns the client component &lt;FundraiserAuthRetry&gt;. The server has already committed a 200 response; the notFound() call inside that client component runs after hydration and cannot change the HTTP status.</t>
        </is>
      </c>
      <c r="J3" s="7" t="inlineStr">
        <is>
          <t>src/app/(fundraiser)/raise/[slug]/page.tsx:129-139 ; src/components/fundraisers/fundraiser-auth-retry.tsx:50-63</t>
        </is>
      </c>
      <c r="K3" s="7" t="inlineStr">
        <is>
          <t>Split the two cases. A 404 from the platform API for an anonymous request means the slug does not exist -&gt; call notFound() server-side so Next.js returns a real 404. Keep the client retry only for 401/403 (private/draft campaigns a logged-in host may be allowed to see), and add robots: 'noindex' to generateMetadata for that retry branch so the interim 200 is never indexed.</t>
        </is>
      </c>
      <c r="L3" s="7" t="inlineStr">
        <is>
          <t>curl -I on a bogus slug returns 404; Search Console &gt; Pages stops reporting 'Soft 404'; the not-found.tsx design (the existing 404 page) renders instead of a blank shell.</t>
        </is>
      </c>
      <c r="M3" s="7" t="inlineStr">
        <is>
          <t>curl -o /dev/null -w '%{http_code}\n' https://www.startplanting.org/raise/does-not-exist ; GSC &gt; Pages &gt; 'Soft 404' bucket should empty within one crawl cycle.</t>
        </is>
      </c>
      <c r="N3" s="7" t="inlineStr">
        <is>
          <t>Removes soft-404 waste from the crawl budget and stops thin, contentless pages entering the index. Search Console 'Soft 404' errors clear.</t>
        </is>
      </c>
      <c r="O3" s="7" t="inlineStr">
        <is>
          <t>Prevents AI crawlers from ingesting empty pages under real-looking fundraiser URLs and hallucinating campaigns that do not exist.</t>
        </is>
      </c>
      <c r="P3" s="7" t="inlineStr">
        <is>
          <t>Index bloat with empty pages; Google may lower crawl frequency for the whole /raise/ path when it repeatedly finds 200-but-empty responses.</t>
        </is>
      </c>
      <c r="Q3" s="7" t="inlineStr">
        <is>
          <t>S</t>
        </is>
      </c>
      <c r="R3" s="7" t="inlineStr">
        <is>
          <t>-</t>
        </is>
      </c>
      <c r="S3" s="7" t="inlineStr"/>
      <c r="T3" s="7" t="inlineStr">
        <is>
          <t>Open</t>
        </is>
      </c>
    </row>
    <row r="4" ht="118" customHeight="1">
      <c r="A4" s="15" t="inlineStr">
        <is>
          <t>SEO-03</t>
        </is>
      </c>
      <c r="B4" s="16" t="inlineStr">
        <is>
          <t>P0 - Critical</t>
        </is>
      </c>
      <c r="C4" s="7" t="inlineStr">
        <is>
          <t>Technical SEO</t>
        </is>
      </c>
      <c r="D4" s="7" t="inlineStr">
        <is>
          <t>Index bloat</t>
        </is>
      </c>
      <c r="E4" s="7" t="inlineStr">
        <is>
          <t>Category listing</t>
        </is>
      </c>
      <c r="F4" s="7" t="inlineStr">
        <is>
          <t>https://www.startplanting.org/explore/not-a-real-category</t>
        </is>
      </c>
      <c r="G4" s="7" t="inlineStr">
        <is>
          <t>Soft 404 plus an unbounded indexable URL space: any invented category slug returns HTTP 200 and a unique title generated from the slug itself ('Not A Real Category Fundraisers').</t>
        </is>
      </c>
      <c r="H4" s="7" t="inlineStr">
        <is>
          <t>curl /explore/not-a-real-category -&gt; 200. &lt;title&gt;Not A Real Category Fundraisers&lt;/title&gt;, description 'Discover Not A Real Category fundraisers and support causes you care about.' Body is empty apart from chrome.</t>
        </is>
      </c>
      <c r="I4" s="7" t="inlineStr">
        <is>
          <t>generateMetadata calls humanizeCategorySlug(slug) and builds the title before any data fetch, so it never learns the category is invalid. The notFound() lives in CategoryPageLoader, which runs inside &lt;Suspense&gt; after the 200 shell has already been streamed.</t>
        </is>
      </c>
      <c r="J4" s="7" t="inlineStr">
        <is>
          <t>src/app/(standard)/explore/[category]/page.tsx:24-33 (generateMetadata) and :63-76 (Suspense wrapper) ; src/components/explore/category-page-loader.tsx:20-27</t>
        </is>
      </c>
      <c r="K4" s="7" t="inlineStr">
        <is>
          <t>Validate the category inside generateMetadata by fetching (or reading a cached list of) the real category set before building the title, and return notFound() there. Alternatively resolve the category above the Suspense boundary so notFound() runs before the response is committed, and keep only the fundraiser list streaming.</t>
        </is>
      </c>
      <c r="L4" s="7" t="inlineStr">
        <is>
          <t>Bogus category URLs return 404 with the CategoryNotFound design; only the four real categories (climate-justice, events, sports, tech) return 200.</t>
        </is>
      </c>
      <c r="M4" s="7" t="inlineStr">
        <is>
          <t>curl -o /dev/null -w '%{http_code}\n' https://www.startplanting.org/explore/fake-slug ; then spot-check the four valid categories still return 200.</t>
        </is>
      </c>
      <c r="N4" s="7" t="inlineStr">
        <is>
          <t>Closes an infinite doorway-page surface. Any scraper or bad backlink can currently mint unlimited unique-titled indexable URLs, which is a classic index-bloat and spam signal.</t>
        </is>
      </c>
      <c r="O4" s="7" t="inlineStr">
        <is>
          <t>Stops AI systems from indexing fabricated category pages and asserting that Start Planting has categories it does not have.</t>
        </is>
      </c>
      <c r="P4" s="7" t="inlineStr">
        <is>
          <t>A single spam campaign linking to thousands of /explore/&lt;random&gt; URLs could pollute the index and trigger a quality demotion for the whole domain.</t>
        </is>
      </c>
      <c r="Q4" s="7" t="inlineStr">
        <is>
          <t>S</t>
        </is>
      </c>
      <c r="R4" s="7" t="inlineStr">
        <is>
          <t>-</t>
        </is>
      </c>
      <c r="S4" s="7" t="inlineStr"/>
      <c r="T4" s="7" t="inlineStr">
        <is>
          <t>Open</t>
        </is>
      </c>
    </row>
    <row r="5" ht="118" customHeight="1">
      <c r="A5" s="15" t="inlineStr">
        <is>
          <t>SEO-04</t>
        </is>
      </c>
      <c r="B5" s="16" t="inlineStr">
        <is>
          <t>P0 - Critical</t>
        </is>
      </c>
      <c r="C5" s="7" t="inlineStr">
        <is>
          <t>International SEO</t>
        </is>
      </c>
      <c r="D5" s="7" t="inlineStr">
        <is>
          <t>hreflang &amp; locale routing</t>
        </is>
      </c>
      <c r="E5" s="7" t="inlineStr">
        <is>
          <t>Site-wide (EN + DE)</t>
        </is>
      </c>
      <c r="F5" s="7" t="inlineStr">
        <is>
          <t>https://www.startplanting.org/explore</t>
        </is>
      </c>
      <c r="G5" s="7" t="inlineStr">
        <is>
          <t>German content has no URL of its own. EN and DE are served from the same URL with the same canonical, no hreflang, and no Vary: Accept-Language. The DE version is effectively unindexable.</t>
        </is>
      </c>
      <c r="H5" s="7" t="inlineStr">
        <is>
          <t>curl -H 'Accept-Language: de' /explore returns &lt;html lang='de'&gt;, &lt;title&gt;Spendenaufrufe entdecken&lt;/title&gt;, description in German, but canonical is still https://www.startplanting.org/explore. No &lt;link rel='alternate' hreflang'&gt; anywhere. Response Vary header lists only rsc / next-router-* keys.</t>
        </is>
      </c>
      <c r="I5" s="7" t="inlineStr">
        <is>
          <t>i18n/routing.ts sets localePrefix: 'never', so no /de or /en path segment exists. The language switcher is a &lt;button&gt; that writes to a Zustand store and sets a cookie, so there is no crawlable DE URL for Googlebot to follow.</t>
        </is>
      </c>
      <c r="J5" s="7" t="inlineStr">
        <is>
          <t>src/i18n/routing.ts:3-11 ; src/components/footer/language-selector.tsx:26-33 ; src/app/layout.tsx:66-73 (add alternates.languages)</t>
        </is>
      </c>
      <c r="K5" s="7" t="inlineStr">
        <is>
          <t>Move to localePrefix: 'as-needed' or 'always' so DE lives at /de/... Then emit alternates.languages ({ en, de, 'x-default' }) in every generateMetadata, render the language switcher as real &lt;a&gt;/&lt;Link&gt; elements pointing at the alternate URL, and include both locale variants in the sitemap. If URL-based locales are not acceptable, the minimum interim fix is adding Vary: Accept-Language so the CDN and crawlers do not cache one language for the other.</t>
        </is>
      </c>
      <c r="L5" s="7" t="inlineStr">
        <is>
          <t>Distinct indexable URLs per language; German queries ('Spendenaktion starten', 'Baumspende') begin surfacing the DE pages; GSC &gt; Performance can be filtered by country and shows DE impressions.</t>
        </is>
      </c>
      <c r="M5" s="7" t="inlineStr">
        <is>
          <t>curl https://www.startplanting.org/de/explore ; validate hreflang reciprocity with the Rich Results Test or a crawler; GSC &gt; Performance &gt; Country filter = Germany.</t>
        </is>
      </c>
      <c r="N5" s="7" t="inlineStr">
        <is>
          <t>Unlocks the entire German-speaking market, which for a German nonprofit is likely the largest organic opportunity on the site. Also removes the risk of Google serving DE text under an EN-declared page.</t>
        </is>
      </c>
      <c r="O5" s="7" t="inlineStr">
        <is>
          <t>AI assistants answering in German currently have no German source to cite. Locale-specific URLs give them a citable German page.</t>
        </is>
      </c>
      <c r="P5" s="7" t="inlineStr">
        <is>
          <t>The DE half of a bilingual product produces zero organic traffic. Worse, a CDN could cache one language and serve it to the other audience, since nothing varies the cache key on language.</t>
        </is>
      </c>
      <c r="Q5" s="7" t="inlineStr">
        <is>
          <t>L</t>
        </is>
      </c>
      <c r="R5" s="7" t="inlineStr">
        <is>
          <t>SEO-01 (sitemap must list both locales)</t>
        </is>
      </c>
      <c r="S5" s="7" t="inlineStr"/>
      <c r="T5" s="7" t="inlineStr">
        <is>
          <t>Open</t>
        </is>
      </c>
    </row>
    <row r="6" ht="118" customHeight="1">
      <c r="A6" s="15" t="inlineStr">
        <is>
          <t>PERF-01</t>
        </is>
      </c>
      <c r="B6" s="16" t="inlineStr">
        <is>
          <t>P0 - Critical</t>
        </is>
      </c>
      <c r="C6" s="7" t="inlineStr">
        <is>
          <t>Performance &amp; CWV</t>
        </is>
      </c>
      <c r="D6" s="7" t="inlineStr">
        <is>
          <t>Core Web Vitals</t>
        </is>
      </c>
      <c r="E6" s="7" t="inlineStr">
        <is>
          <t>Fundraiser detail</t>
        </is>
      </c>
      <c r="F6" s="7" t="inlineStr">
        <is>
          <t>https://www.startplanting.org/raise/trees-for-jane</t>
        </is>
      </c>
      <c r="G6" s="7" t="inlineStr">
        <is>
          <t>Largest Contentful Paint is 10.9s on mobile. The LCP element is the fundraiser hero image, and it is hardcoded loading='lazy'.</t>
        </is>
      </c>
      <c r="H6" s="7" t="inlineStr">
        <is>
          <t>Lighthouse 12 mobile: LCP 10.9s (score 0), Speed Index 7.1s, TTI 11.1s, Performance 68. Audit lcp-lazy-loaded fails; lcp-discovery-insight reports priorityHinted=false and eagerlyLoaded=false. LCP node: &lt;img loading='lazy' decoding='async' src='cdn.plant-for-the-planet.org/.../large/...'&gt;.</t>
        </is>
      </c>
      <c r="I6" s="7" t="inlineStr">
        <is>
          <t>ImageComponentBase hardcodes loading='lazy' for every image including the above-the-fold hero. No fetchpriority, no width/height, no srcset, and no preconnect to the CDN origin.</t>
        </is>
      </c>
      <c r="J6" s="7" t="inlineStr">
        <is>
          <t>src/components/fundraisers/image-component-base.tsx:33-40 ; src/components/fundraisers/image-display.tsx:16-31 ; src/app/layout.tsx (add preconnect)</t>
        </is>
      </c>
      <c r="K6" s="7" t="inlineStr">
        <is>
          <t>Add a priority/eager prop to ImageComponentBase and pass it from ImageDisplay for the hero. Set loading='eager' + fetchPriority='high' on that one image, keep lazy for everything below the fold. Add &lt;link rel='preconnect' href='https://cdn.plant-for-the-planet.org' crossOrigin&gt; in the root layout. Ideally migrate to next/image so AVIF/WebP and srcset come for free (Lighthouse estimates 398 KiB savings on this page).</t>
        </is>
      </c>
      <c r="L6" s="7" t="inlineStr">
        <is>
          <t>LCP should drop into the 2.0-2.5s band on mobile. PageSpeed field data (CrUX) turns from red to green for /raise/* over ~28 days.</t>
        </is>
      </c>
      <c r="M6" s="7" t="inlineStr">
        <is>
          <t>npx lighthouse https://www.startplanting.org/raise/&lt;slug&gt; --form-factor=mobile ; PageSpeed Insights; GSC &gt; Core Web Vitals report.</t>
        </is>
      </c>
      <c r="N6" s="7" t="inlineStr">
        <is>
          <t>Core Web Vitals is a confirmed ranking signal. /raise/* is the money page and the most-linked page type, so this is the largest ranking lever available from performance work.</t>
        </is>
      </c>
      <c r="O6" s="7" t="inlineStr">
        <is>
          <t>AI crawlers time out or truncate slow pages. Faster render means the description and donation context are more reliably ingested.</t>
        </is>
      </c>
      <c r="P6" s="7" t="inlineStr">
        <is>
          <t>10.9s LCP on the donation page directly costs conversions on mobile, independent of any ranking effect. This is the single worst measured number in the audit.</t>
        </is>
      </c>
      <c r="Q6" s="7" t="inlineStr">
        <is>
          <t>S</t>
        </is>
      </c>
      <c r="R6" s="7" t="inlineStr">
        <is>
          <t>-</t>
        </is>
      </c>
      <c r="S6" s="7" t="inlineStr"/>
      <c r="T6" s="7" t="inlineStr">
        <is>
          <t>Open</t>
        </is>
      </c>
    </row>
    <row r="7" ht="118" customHeight="1">
      <c r="A7" s="15" t="inlineStr">
        <is>
          <t>AEO-01</t>
        </is>
      </c>
      <c r="B7" s="17" t="inlineStr">
        <is>
          <t>P1 - High</t>
        </is>
      </c>
      <c r="C7" s="7" t="inlineStr">
        <is>
          <t>Structured Data</t>
        </is>
      </c>
      <c r="D7" s="7" t="inlineStr">
        <is>
          <t>JSON-LD coverage</t>
        </is>
      </c>
      <c r="E7" s="7" t="inlineStr">
        <is>
          <t>Site-wide</t>
        </is>
      </c>
      <c r="F7" s="7" t="inlineStr">
        <is>
          <t>All pages</t>
        </is>
      </c>
      <c r="G7" s="7" t="inlineStr">
        <is>
          <t>Zero JSON-LD structured data anywhere on the site. No Organization, BreadcrumbList, FAQPage, ItemList or DonateAction markup.</t>
        </is>
      </c>
      <c r="H7" s="7" t="inlineStr">
        <is>
          <t>grep 'application/ld+json' across production HTML for /explore, /explore/climate-justice, /raise/trees-for-jane, /cookies -&gt; 0 occurrences on every page. grep 'ld+json|schema.org' across src/ -&gt; no matches.</t>
        </is>
      </c>
      <c r="I7" s="7" t="inlineStr">
        <is>
          <t>Structured data was never implemented. Next.js metadata API covers only &lt;meta&gt; and &lt;link&gt;; JSON-LD has to be rendered as a &lt;script type='application/ld+json'&gt; in the page tree.</t>
        </is>
      </c>
      <c r="J7" s="7" t="inlineStr">
        <is>
          <t>CREATE src/components/seo/json-ld.tsx ; wire into src/app/layout.tsx (Organization), src/app/(fundraiser)/raise/[slug]/page.tsx (Organization + DonateAction), src/app/(standard)/explore/[category]/page.tsx (BreadcrumbList + ItemList)</t>
        </is>
      </c>
      <c r="K7" s="7" t="inlineStr">
        <is>
          <t>Add a small server component that stringifies a schema object into a &lt;script type='application/ld+json'&gt;. Site-wide: Organization (name 'Start Planting', parent Plant-for-the-Planet, logo, url, sameAs to the official social profiles). Fundraiser pages: Organization/NonprofitOrganization for the host workspace plus a potentialAction of type DonateAction. Category pages: BreadcrumbList + ItemList of the listed fundraisers. Every value must mirror text that is visible on the page.</t>
        </is>
      </c>
      <c r="L7" s="7" t="inlineStr">
        <is>
          <t>Rich Results Test reports valid Organization / BreadcrumbList on the relevant URLs; GSC &gt; Enhancements gains a Breadcrumbs report; the knowledge panel for 'Start Planting' starts resolving to the right entity.</t>
        </is>
      </c>
      <c r="M7" s="7" t="inlineStr">
        <is>
          <t>https://search.google.com/test/rich-results ; https://validator.schema.org/ ; GSC &gt; Enhancements.</t>
        </is>
      </c>
      <c r="N7" s="7" t="inlineStr">
        <is>
          <t>Breadcrumb rich results in the SERP, better entity disambiguation between 'Start Planting' and the parent Plant-for-the-Planet brand.</t>
        </is>
      </c>
      <c r="O7" s="7" t="inlineStr">
        <is>
          <t>Highest-value AEO fix after content. JSON-LD is the format AI answer engines parse most reliably; it is how ChatGPT and Perplexity learn what the organisation is, what it does, and how to donate.</t>
        </is>
      </c>
      <c r="P7" s="7" t="inlineStr">
        <is>
          <t>Search engines and AI systems must infer the entity from unstructured text, so brand attribution stays fuzzy and citations go to competitors with cleaner markup.</t>
        </is>
      </c>
      <c r="Q7" s="7" t="inlineStr">
        <is>
          <t>M</t>
        </is>
      </c>
      <c r="R7" s="7" t="inlineStr">
        <is>
          <t>-</t>
        </is>
      </c>
      <c r="S7" s="7" t="inlineStr"/>
      <c r="T7" s="7" t="inlineStr">
        <is>
          <t>Open</t>
        </is>
      </c>
    </row>
    <row r="8" ht="118" customHeight="1">
      <c r="A8" s="15" t="inlineStr">
        <is>
          <t>SEO-05</t>
        </is>
      </c>
      <c r="B8" s="17" t="inlineStr">
        <is>
          <t>P1 - High</t>
        </is>
      </c>
      <c r="C8" s="7" t="inlineStr">
        <is>
          <t>Technical SEO</t>
        </is>
      </c>
      <c r="D8" s="7" t="inlineStr">
        <is>
          <t>Crawlability</t>
        </is>
      </c>
      <c r="E8" s="7" t="inlineStr">
        <is>
          <t>Root URL</t>
        </is>
      </c>
      <c r="F8" s="7" t="inlineStr">
        <is>
          <t>https://startplanting.org/</t>
        </is>
      </c>
      <c r="G8" s="7" t="inlineStr">
        <is>
          <t>The brand root URL is blocked in robots.txt (Disallow: /$) and 307-redirects to /explore, yet the header logo links to it. External backlinks to the domain root land on a crawl-blocked URL.</t>
        </is>
      </c>
      <c r="H8" s="7" t="inlineStr">
        <is>
          <t>robots.txt line 4: 'Disallow: /$'. curl -I https://startplanting.org/ -&gt; 308 to www, then 307 to /explore (2 redirects). The /explore HTML contains href='/' on the logo.</t>
        </is>
      </c>
      <c r="I8" s="7" t="inlineStr">
        <is>
          <t>next.config.ts redirects '/' to '/explore' with permanent:false (307), and robots.ts deliberately disallows '/$' because '/' is 'a dead redirect'. But blocking a URL prevents Googlebot from reading the redirect at all, so link equity from any backlink to the bare domain is stranded.</t>
        </is>
      </c>
      <c r="J8" s="7" t="inlineStr">
        <is>
          <t>src/app/robots.ts:18-22 ; next.config.ts:19-27 ; header logo link (src/components/header/*)</t>
        </is>
      </c>
      <c r="K8" s="7" t="inlineStr">
        <is>
          <t>Remove 'Disallow: /$' from robots.ts so Googlebot can crawl and follow the redirect. Change permanent:false to permanent:true (308) so equity passes cleanly, or better: make '/' the real landing page and drop the redirect entirely. Point the header logo at /explore if the redirect stays.</t>
        </is>
      </c>
      <c r="L8" s="7" t="inlineStr">
        <is>
          <t>curl -I https://www.startplanting.org/ shows a single 308 to /explore; GSC &gt; Pages no longer reports '/' as 'Blocked by robots.txt'; SERP entry for the bare domain shows a proper title and snippet instead of 'No information is available for this page'.</t>
        </is>
      </c>
      <c r="M8" s="7" t="inlineStr">
        <is>
          <t>GSC &gt; URL Inspection on https://startplanting.org/ ; GSC &gt; Pages &gt; 'Blocked by robots.txt' bucket.</t>
        </is>
      </c>
      <c r="N8" s="7" t="inlineStr">
        <is>
          <t>Every backlink to 'startplanting.org' (press, partner sites, social bios) currently passes its authority into a blocked URL. Unblocking recovers that signal for /explore.</t>
        </is>
      </c>
      <c r="O8" s="7" t="inlineStr">
        <is>
          <t>AI crawlers resolving the brand domain hit a robots-blocked root and may conclude the site is closed to them. The root is the URL humans and models both guess first.</t>
        </is>
      </c>
      <c r="P8" s="7" t="inlineStr">
        <is>
          <t>Brand searches for 'Start Planting' can return a blank SERP entry for the root domain, which reads as a broken or parked site.</t>
        </is>
      </c>
      <c r="Q8" s="7" t="inlineStr">
        <is>
          <t>S</t>
        </is>
      </c>
      <c r="R8" s="7" t="inlineStr">
        <is>
          <t>-</t>
        </is>
      </c>
      <c r="S8" s="7" t="inlineStr"/>
      <c r="T8" s="7" t="inlineStr">
        <is>
          <t>Open</t>
        </is>
      </c>
    </row>
    <row r="9" ht="118" customHeight="1">
      <c r="A9" s="15" t="inlineStr">
        <is>
          <t>SEO-06</t>
        </is>
      </c>
      <c r="B9" s="17" t="inlineStr">
        <is>
          <t>P1 - High</t>
        </is>
      </c>
      <c r="C9" s="7" t="inlineStr">
        <is>
          <t>On-page SEO</t>
        </is>
      </c>
      <c r="D9" s="7" t="inlineStr">
        <is>
          <t>Headings</t>
        </is>
      </c>
      <c r="E9" s="7" t="inlineStr">
        <is>
          <t>Fundraiser detail</t>
        </is>
      </c>
      <c r="F9" s="7" t="inlineStr">
        <is>
          <t>https://www.startplanting.org/raise/trees-for-jane</t>
        </is>
      </c>
      <c r="G9" s="7" t="inlineStr">
        <is>
          <t>Two &lt;h1&gt; elements on every fundraiser page, both containing the same fundraiser title.</t>
        </is>
      </c>
      <c r="H9" s="7" t="inlineStr">
        <is>
          <t>Production HTML for /raise/trees-for-jane contains 2 &lt;h1&gt; tags, both 'Trees for Jane'. Same pattern on every /raise/* page.</t>
        </is>
      </c>
      <c r="I9" s="7" t="inlineStr">
        <is>
          <t>The title is rendered twice for responsive layout: &lt;TitleDisplay className='md:hidden'&gt; in the SidebarPanel and &lt;TitleDisplay className='hidden md:block'&gt; in the MainPanel. CSS hides one visually, but both are in the DOM.</t>
        </is>
      </c>
      <c r="J9" s="7" t="inlineStr">
        <is>
          <t>src/components/fundraisers/fundraiser-view.tsx:85 (sidebar) and :146 (main panel) ; src/components/fundraisers/title-display.tsx:14</t>
        </is>
      </c>
      <c r="K9" s="7" t="inlineStr">
        <is>
          <t>Render the title once and move it with CSS (order/grid-area) instead of duplicating the element. If duplication must stay, demote the hidden copy to a &lt;p&gt; or &lt;div&gt; with aria-hidden, or use a CSS grid reorder so only one &lt;h1&gt; is ever emitted.</t>
        </is>
      </c>
      <c r="L9" s="7" t="inlineStr">
        <is>
          <t>View source on any /raise/ page shows exactly one &lt;h1&gt;; Lighthouse SEO and any crawler (Screaming Frog) report a single H1 per page.</t>
        </is>
      </c>
      <c r="M9" s="7" t="inlineStr">
        <is>
          <t>curl &lt;url&gt; | grep -c '&lt;h1' -&gt; expect 1 ; Screaming Frog &gt; H1 &gt; 'Multiple' filter should be empty.</t>
        </is>
      </c>
      <c r="N9" s="7" t="inlineStr">
        <is>
          <t>A single, unambiguous H1 is a direct topical signal. Duplicate H1s dilute which phrase the page is about and are flagged by every SEO crawler.</t>
        </is>
      </c>
      <c r="O9" s="7" t="inlineStr">
        <is>
          <t>AI extractors use the H1 to identify the page subject. Two competing H1s add noise to entity extraction.</t>
        </is>
      </c>
      <c r="P9" s="7" t="inlineStr">
        <is>
          <t>Low individually, but it affects 100% of the site's most important page type and is a trivial fix.</t>
        </is>
      </c>
      <c r="Q9" s="7" t="inlineStr">
        <is>
          <t>S</t>
        </is>
      </c>
      <c r="R9" s="7" t="inlineStr">
        <is>
          <t>-</t>
        </is>
      </c>
      <c r="S9" s="7" t="inlineStr"/>
      <c r="T9" s="7" t="inlineStr">
        <is>
          <t>Open</t>
        </is>
      </c>
    </row>
    <row r="10" ht="118" customHeight="1">
      <c r="A10" s="15" t="inlineStr">
        <is>
          <t>SEO-07</t>
        </is>
      </c>
      <c r="B10" s="17" t="inlineStr">
        <is>
          <t>P1 - High</t>
        </is>
      </c>
      <c r="C10" s="7" t="inlineStr">
        <is>
          <t>On-page SEO</t>
        </is>
      </c>
      <c r="D10" s="7" t="inlineStr">
        <is>
          <t>Titles &amp; descriptions</t>
        </is>
      </c>
      <c r="E10" s="7" t="inlineStr">
        <is>
          <t>Site-wide</t>
        </is>
      </c>
      <c r="F10" s="7" t="inlineStr">
        <is>
          <t>All pages</t>
        </is>
      </c>
      <c r="G10" s="7" t="inlineStr">
        <is>
          <t>No title template. Every page title is bare with no brand suffix: 'Trees for Jane', 'Discover Fundraisers', 'Climate Justice Fundraisers'.</t>
        </is>
      </c>
      <c r="H10" s="7" t="inlineStr">
        <is>
          <t>Production titles observed: /explore -&gt; 'Discover Fundraisers' (19 chars), /raise/trees-for-jane -&gt; 'Trees for Jane' (14 chars), /explore/climate-justice -&gt; 'Climate Justice Fundraisers'. Root layout sets a plain title string, not { template, default }.</t>
        </is>
      </c>
      <c r="I10" s="7" t="inlineStr">
        <is>
          <t>src/app/layout.tsx returns title: t('title') as a plain string. Next.js only applies a brand suffix to child routes when the root uses title: { template: '%s | Brand', default: '...' }.</t>
        </is>
      </c>
      <c r="J10" s="7" t="inlineStr">
        <is>
          <t>src/app/layout.tsx:66-73 ; locales/en/common.json &gt; Common.metadata ; locales/de/common.json &gt; Common.metadata</t>
        </is>
      </c>
      <c r="K10" s="7" t="inlineStr">
        <is>
          <t>Set title: { template: '%s | Start Planting', default: '&lt;brand default&gt;' } in the root layout metadata. Page-level titles then inherit the suffix automatically. Keep titles in the 50-60 character band; for fundraisers consider 'Trees for Jane | Donate to plant trees | Start Planting' via a template in the fundraiser route.</t>
        </is>
      </c>
      <c r="L10" s="7" t="inlineStr">
        <is>
          <t>SERP listings show the brand after the page name; social shares and browser tabs carry brand context; average title length moves into the 50-60 char band.</t>
        </is>
      </c>
      <c r="M10" s="7" t="inlineStr">
        <is>
          <t>curl &lt;url&gt; | grep '&lt;title&gt;' across the four public templates ; Screaming Frog &gt; Page Titles &gt; length distribution.</t>
        </is>
      </c>
      <c r="N10" s="7" t="inlineStr">
        <is>
          <t>Brand recall in the SERP, higher CTR on branded and semi-branded queries, and clearer disambiguation for near-duplicate campaign names.</t>
        </is>
      </c>
      <c r="O10" s="7" t="inlineStr">
        <is>
          <t>AI answer engines attribute content to a source by name. Untitled-by-brand pages get attributed to the URL or to the parent Plant-for-the-Planet brand instead of Start Planting.</t>
        </is>
      </c>
      <c r="P10" s="7" t="inlineStr">
        <is>
          <t>Titles like 'Trees for Jane' alone give a searcher no reason to trust the result or recognise the platform.</t>
        </is>
      </c>
      <c r="Q10" s="7" t="inlineStr">
        <is>
          <t>S</t>
        </is>
      </c>
      <c r="R10" s="7" t="inlineStr">
        <is>
          <t>-</t>
        </is>
      </c>
      <c r="S10" s="7" t="inlineStr"/>
      <c r="T10" s="7" t="inlineStr">
        <is>
          <t>Open</t>
        </is>
      </c>
    </row>
    <row r="11" ht="118" customHeight="1">
      <c r="A11" s="15" t="inlineStr">
        <is>
          <t>SEO-08</t>
        </is>
      </c>
      <c r="B11" s="17" t="inlineStr">
        <is>
          <t>P1 - High</t>
        </is>
      </c>
      <c r="C11" s="7" t="inlineStr">
        <is>
          <t>On-page SEO</t>
        </is>
      </c>
      <c r="D11" s="7" t="inlineStr">
        <is>
          <t>Titles &amp; descriptions</t>
        </is>
      </c>
      <c r="E11" s="7" t="inlineStr">
        <is>
          <t>Fallback for any page without its own metadata</t>
        </is>
      </c>
      <c r="F11" s="7" t="inlineStr">
        <is>
          <t>https://www.startplanting.org/fundraisers/create</t>
        </is>
      </c>
      <c r="G11" s="7" t="inlineStr">
        <is>
          <t>Placeholder root metadata still in production: title 'Fundraisers', description 'Fundraising platform'.</t>
        </is>
      </c>
      <c r="H11" s="7" t="inlineStr">
        <is>
          <t>locales/en/common.json &gt; Common.metadata = { title: 'Fundraisers', description: 'Fundraising platform' }. Confirmed live: /fundraisers/create serves &lt;title&gt;Fundraisers&lt;/title&gt;. Common.greeting is still 'Hello, World!'.</t>
        </is>
      </c>
      <c r="I11" s="7" t="inlineStr">
        <is>
          <t>Scaffold values from project setup were never replaced. Any route that does not export its own metadata inherits them.</t>
        </is>
      </c>
      <c r="J11" s="7" t="inlineStr">
        <is>
          <t>locales/en/common.json (Common.metadata) ; locales/de/common.json (Common.metadata) ; src/app/layout.tsx:66-73</t>
        </is>
      </c>
      <c r="K11" s="7" t="inlineStr">
        <is>
          <t>Replace with real brand copy in both locales, e.g. title 'Start Planting - Fundraise for trees and forest restoration' and a 150-160 character description naming what the platform does and who runs it. Send through Lingohub so DE stays in sync.</t>
        </is>
      </c>
      <c r="L11" s="7" t="inlineStr">
        <is>
          <t>Every page without an explicit title falls back to meaningful brand copy instead of the word 'Fundraisers'.</t>
        </is>
      </c>
      <c r="M11" s="7" t="inlineStr">
        <is>
          <t>curl https://www.startplanting.org/fundraisers/create | grep '&lt;title&gt;' ; audit all templates in Screaming Frog for the string 'Fundraising platform'.</t>
        </is>
      </c>
      <c r="N11" s="7" t="inlineStr">
        <is>
          <t>Removes obviously unfinished metadata from the index, which is a direct quality signal to both Google and human searchers.</t>
        </is>
      </c>
      <c r="O11" s="7" t="inlineStr">
        <is>
          <t>'Fundraising platform' is the description an AI would quote when asked what Start Planting is. It says nothing about trees, forests, or the nonprofit behind it.</t>
        </is>
      </c>
      <c r="P11" s="7" t="inlineStr">
        <is>
          <t>Reads as an unfinished product. Undermines the trust half of E-E-A-T.</t>
        </is>
      </c>
      <c r="Q11" s="7" t="inlineStr">
        <is>
          <t>S</t>
        </is>
      </c>
      <c r="R11" s="7" t="inlineStr">
        <is>
          <t>-</t>
        </is>
      </c>
      <c r="S11" s="7" t="inlineStr"/>
      <c r="T11" s="7" t="inlineStr">
        <is>
          <t>Open</t>
        </is>
      </c>
    </row>
    <row r="12" ht="118" customHeight="1">
      <c r="A12" s="15" t="inlineStr">
        <is>
          <t>PERF-02</t>
        </is>
      </c>
      <c r="B12" s="17" t="inlineStr">
        <is>
          <t>P1 - High</t>
        </is>
      </c>
      <c r="C12" s="7" t="inlineStr">
        <is>
          <t>Performance &amp; CWV</t>
        </is>
      </c>
      <c r="D12" s="7" t="inlineStr">
        <is>
          <t>Caching</t>
        </is>
      </c>
      <c r="E12" s="7" t="inlineStr">
        <is>
          <t>Site-wide</t>
        </is>
      </c>
      <c r="F12" s="7" t="inlineStr">
        <is>
          <t>All HTML responses</t>
        </is>
      </c>
      <c r="G12" s="7" t="inlineStr">
        <is>
          <t>Every HTML response carries Cache-Control: private, no-cache, no-store, must-revalidate. Nothing is cached at the CDN edge, and back/forward cache is disabled.</t>
        </is>
      </c>
      <c r="H12" s="7" t="inlineStr">
        <is>
          <t>curl -I on /explore and /raise/trees-for-jane both return 'cache-control: private, no-cache, no-store, max-age=0, must-revalidate' and 'x-vercel-cache: MISS'. Lighthouse: bf-cache fails with MainResourceHasCacheControlNoStore; document-latency-insight reports the server responded in 996ms (est. 900ms savings).</t>
        </is>
      </c>
      <c r="I12" s="7" t="inlineStr">
        <is>
          <t>The root layout reads headers() and cookies() (locale + auth + theme), which opts every route into fully dynamic rendering. Next.js then marks responses uncacheable.</t>
        </is>
      </c>
      <c r="J12" s="7" t="inlineStr">
        <is>
          <t>src/app/layout.tsx:80-84 (headers() for x-pathname/theme) ; src/i18n/request.ts (cookie read) ; src/proxy.ts:6-12</t>
        </is>
      </c>
      <c r="K12" s="7" t="inlineStr">
        <is>
          <t>Separate the cacheable public shell from the personalised parts. Options: move the auth/locale-dependent bits into client components or route handlers so the page shell can be statically rendered or ISR-cached; or set an explicit s-maxage + stale-while-revalidate on the public /explore and /raise/* routes where the HTML is not user-specific. Keep no-store only on /dashboard, /login and other authenticated routes.</t>
        </is>
      </c>
      <c r="L12" s="7" t="inlineStr">
        <is>
          <t>x-vercel-cache: HIT on repeat requests to /explore and /raise/*; TTFB drops from ~1s toward ~100ms; Lighthouse bf-cache audit passes.</t>
        </is>
      </c>
      <c r="M12" s="7" t="inlineStr">
        <is>
          <t>curl -I &lt;url&gt; twice and check x-vercel-cache ; Lighthouse &gt; bf-cache and document-latency audits ; GSC &gt; Settings &gt; Crawl stats &gt; average response time.</t>
        </is>
      </c>
      <c r="N12" s="7" t="inlineStr">
        <is>
          <t>Faster TTFB improves every Core Web Vital and directly raises crawl rate. Google's crawl-stats report tracks response time and throttles crawl when it climbs.</t>
        </is>
      </c>
      <c r="O12" s="7" t="inlineStr">
        <is>
          <t>AI crawlers are more aggressively time-limited than Googlebot. A 1s TTFB on every request meaningfully reduces how much of the site they ingest per visit.</t>
        </is>
      </c>
      <c r="P12" s="7" t="inlineStr">
        <is>
          <t>Origin bears full traffic. A campaign that goes viral (Waldrekord Woche already shows 96,120 donations) hits the origin on every single request.</t>
        </is>
      </c>
      <c r="Q12" s="7" t="inlineStr">
        <is>
          <t>L</t>
        </is>
      </c>
      <c r="R12" s="7" t="inlineStr">
        <is>
          <t>-</t>
        </is>
      </c>
      <c r="S12" s="7" t="inlineStr"/>
      <c r="T12" s="7" t="inlineStr">
        <is>
          <t>Open</t>
        </is>
      </c>
    </row>
    <row r="13" ht="118" customHeight="1">
      <c r="A13" s="15" t="inlineStr">
        <is>
          <t>SEO-09</t>
        </is>
      </c>
      <c r="B13" s="17" t="inlineStr">
        <is>
          <t>P1 - High</t>
        </is>
      </c>
      <c r="C13" s="7" t="inlineStr">
        <is>
          <t>On-page SEO</t>
        </is>
      </c>
      <c r="D13" s="7" t="inlineStr">
        <is>
          <t>Open Graph &amp; social cards</t>
        </is>
      </c>
      <c r="E13" s="7" t="inlineStr">
        <is>
          <t>/explore and all /explore/[category]</t>
        </is>
      </c>
      <c r="F13" s="7" t="inlineStr">
        <is>
          <t>https://www.startplanting.org/explore</t>
        </is>
      </c>
      <c r="G13" s="7" t="inlineStr">
        <is>
          <t>The default social share image is 600x314 px, below the 1200x630 minimum for a large social card.</t>
        </is>
      </c>
      <c r="H13" s="7" t="inlineStr">
        <is>
          <t>og:image = /FUNDRAISER-Meta-Cover.jpg, declared 600x314 and actually 600x314 (verified with file: 'JPEG ... 600x314'), 190 KB. twitter:card is summary_large_image, which expects a larger asset. Fundraiser pages correctly declare 1200x630 because they use the campaign's own CDN image.</t>
        </is>
      </c>
      <c r="I13" s="7" t="inlineStr">
        <is>
          <t>META_IMAGE_URL points at a legacy asset that was never re-exported at 2x. The declared dimensions match the file, so the file itself is the constraint.</t>
        </is>
      </c>
      <c r="J13" s="7" t="inlineStr">
        <is>
          <t>public/FUNDRAISER-Meta-Cover.jpg (replace asset) ; src/app/(standard)/explore/page.tsx:19,36-42 ; src/app/(standard)/explore/[category]/page.tsx:9,44-50</t>
        </is>
      </c>
      <c r="K13" s="7" t="inlineStr">
        <is>
          <t>Re-export the cover at 1200x630 (or 1600x840), compress to under 300 KB, and update the width/height in both generateMetadata blocks. Consider Next.js opengraph-image.tsx to generate per-category cards dynamically with the category name burned in.</t>
        </is>
      </c>
      <c r="L13" s="7" t="inlineStr">
        <is>
          <t>Share previews on LinkedIn, WhatsApp, Slack and X render a full-width crisp card instead of a small or upscaled one.</t>
        </is>
      </c>
      <c r="M13" s="7" t="inlineStr">
        <is>
          <t>https://www.opengraph.xyz/ ; LinkedIn Post Inspector ; X Card Validator.</t>
        </is>
      </c>
      <c r="N13" s="7" t="inlineStr">
        <is>
          <t>Not a direct ranking factor, but share CTR is a meaningful traffic source for a fundraising product and a low-quality preview suppresses it.</t>
        </is>
      </c>
      <c r="O13" s="7" t="inlineStr">
        <is>
          <t>og:image is one of the fields AI answer surfaces reuse when rendering a card for a cited source.</t>
        </is>
      </c>
      <c r="P13" s="7" t="inlineStr">
        <is>
          <t>Every share of /explore or a category page renders a soft, undersized image next to competitors' sharp ones.</t>
        </is>
      </c>
      <c r="Q13" s="7" t="inlineStr">
        <is>
          <t>S</t>
        </is>
      </c>
      <c r="R13" s="7" t="inlineStr">
        <is>
          <t>-</t>
        </is>
      </c>
      <c r="S13" s="7" t="inlineStr"/>
      <c r="T13" s="7" t="inlineStr">
        <is>
          <t>Open</t>
        </is>
      </c>
    </row>
    <row r="14" ht="118" customHeight="1">
      <c r="A14" s="15" t="inlineStr">
        <is>
          <t>SEO-10</t>
        </is>
      </c>
      <c r="B14" s="18" t="inlineStr">
        <is>
          <t>P2 - Medium</t>
        </is>
      </c>
      <c r="C14" s="7" t="inlineStr">
        <is>
          <t>On-page SEO</t>
        </is>
      </c>
      <c r="D14" s="7" t="inlineStr">
        <is>
          <t>Open Graph &amp; social cards</t>
        </is>
      </c>
      <c r="E14" s="7" t="inlineStr">
        <is>
          <t>Site-wide</t>
        </is>
      </c>
      <c r="F14" s="7" t="inlineStr">
        <is>
          <t>All pages</t>
        </is>
      </c>
      <c r="G14" s="7" t="inlineStr">
        <is>
          <t>Open Graph and Twitter card sets are incomplete: og:site_name, og:locale, og:image:type, twitter:site and twitter:creator are all absent.</t>
        </is>
      </c>
      <c r="H14" s="7" t="inlineStr">
        <is>
          <t>Checked /raise/trees-for-jane head: og:site_name MISS, og:locale MISS, og:image:type MISS, twitter:site MISS, twitter:creator MISS. Present: og:title, og:description, og:url, og:image(+w/h/alt), og:type, twitter:card/title/description/image.</t>
        </is>
      </c>
      <c r="I14" s="7" t="inlineStr">
        <is>
          <t>generateMetadata blocks set only the core fields; siteName and locale were never added to the openGraph object.</t>
        </is>
      </c>
      <c r="J14" s="7" t="inlineStr">
        <is>
          <t>src/app/layout.tsx:66-73 (set openGraph.siteName + locale once at the root so all pages inherit) ; per-page generateMetadata blocks</t>
        </is>
      </c>
      <c r="K14" s="7" t="inlineStr">
        <is>
          <t>Add openGraph: { siteName: 'Start Planting', locale: 'en_US', alternateLocale: ['de_DE'] } to the root layout metadata, and twitter: { site: '@&lt;handle&gt;' } if an official handle exists. Child routes inherit unless they override.</t>
        </is>
      </c>
      <c r="L14" s="7" t="inlineStr">
        <is>
          <t>Share cards show 'Start Planting' as the source name above the title on Facebook, LinkedIn and Slack.</t>
        </is>
      </c>
      <c r="M14" s="7" t="inlineStr">
        <is>
          <t>https://www.opengraph.xyz/ ; Facebook Sharing Debugger.</t>
        </is>
      </c>
      <c r="N14" s="7" t="inlineStr">
        <is>
          <t>Consistent brand attribution across every social surface, which supports the brand-entity signal Google uses for knowledge panels.</t>
        </is>
      </c>
      <c r="O14" s="7" t="inlineStr">
        <is>
          <t>og:site_name is one of the cheapest, most reliable brand-name signals an AI crawler can read.</t>
        </is>
      </c>
      <c r="P14" s="7" t="inlineStr">
        <is>
          <t>Shares are attributed to a bare URL rather than a named brand.</t>
        </is>
      </c>
      <c r="Q14" s="7" t="inlineStr">
        <is>
          <t>S</t>
        </is>
      </c>
      <c r="R14" s="7" t="inlineStr">
        <is>
          <t>AEO-01 (same brand-entity work)</t>
        </is>
      </c>
      <c r="S14" s="7" t="inlineStr"/>
      <c r="T14" s="7" t="inlineStr">
        <is>
          <t>Open</t>
        </is>
      </c>
    </row>
    <row r="15" ht="118" customHeight="1">
      <c r="A15" s="15" t="inlineStr">
        <is>
          <t>PERF-03</t>
        </is>
      </c>
      <c r="B15" s="18" t="inlineStr">
        <is>
          <t>P2 - Medium</t>
        </is>
      </c>
      <c r="C15" s="7" t="inlineStr">
        <is>
          <t>Performance &amp; CWV</t>
        </is>
      </c>
      <c r="D15" s="7" t="inlineStr">
        <is>
          <t>Images</t>
        </is>
      </c>
      <c r="E15" s="7" t="inlineStr">
        <is>
          <t>Site-wide</t>
        </is>
      </c>
      <c r="F15" s="7" t="inlineStr">
        <is>
          <t>/explore, /explore/[category], /raise/[slug]</t>
        </is>
      </c>
      <c r="G15" s="7" t="inlineStr">
        <is>
          <t>Raw &lt;img&gt; tags used in 18 places instead of next/image. No AVIF/WebP, no responsive srcset, no intrinsic width/height.</t>
        </is>
      </c>
      <c r="H15" s="7" t="inlineStr">
        <is>
          <t>grep '&lt;img' src/components src/modules -&gt; 18 matches; only 2 files import next/image. Lighthouse: modern-image-formats est. 398 KiB savings on /raise, 109 KiB on /explore; uses-responsive-images 157 KiB on /explore; image-delivery-insight 383 KiB.</t>
        </is>
      </c>
      <c r="I15" s="7" t="inlineStr">
        <is>
          <t>Images come from cdn.plant-for-the-planet.org and were wired up as plain &lt;img&gt; to avoid configuring next.config images.remotePatterns. next.config.ts has no images block at all.</t>
        </is>
      </c>
      <c r="J15" s="7" t="inlineStr">
        <is>
          <t>src/components/fundraisers/image-component-base.tsx:33-40 ; src/components/explore/fundraiser-card-image.tsx:29-37 ; next.config.ts (add images.remotePatterns + formats)</t>
        </is>
      </c>
      <c r="K15" s="7" t="inlineStr">
        <is>
          <t>Add images: { remotePatterns: [{ hostname: 'cdn.plant-for-the-planet.org' }], formats: ['image/avif','image/webp'] } to next.config.ts and migrate the two image components to next/image with explicit width/height or fill + sizes. That delivers AVIF/WebP, srcset, and automatic lazy/eager handling in one change.</t>
        </is>
      </c>
      <c r="L15" s="7" t="inlineStr">
        <is>
          <t>Network panel shows .avif or .webp responses via /_next/image; Lighthouse modern-image-formats and uses-responsive-images audits pass; total image bytes drop roughly 60-70%.</t>
        </is>
      </c>
      <c r="M15" s="7" t="inlineStr">
        <is>
          <t>Lighthouse &gt; Opportunities ; browser DevTools &gt; Network &gt; Img filter &gt; Type column.</t>
        </is>
      </c>
      <c r="N15" s="7" t="inlineStr">
        <is>
          <t>Page weight is a Core Web Vitals input. On mobile connections this is the difference between a fast and a slow LCP across every template.</t>
        </is>
      </c>
      <c r="O15" s="7" t="inlineStr">
        <is>
          <t>Lighter pages are ingested more completely by time-boxed AI crawlers.</t>
        </is>
      </c>
      <c r="P15" s="7" t="inlineStr">
        <is>
          <t>Mobile users on slower connections (a real share of a nonprofit's audience) wait several extra seconds per page.</t>
        </is>
      </c>
      <c r="Q15" s="7" t="inlineStr">
        <is>
          <t>M</t>
        </is>
      </c>
      <c r="R15" s="7" t="inlineStr">
        <is>
          <t>PERF-01 (same components)</t>
        </is>
      </c>
      <c r="S15" s="7" t="inlineStr"/>
      <c r="T15" s="7" t="inlineStr">
        <is>
          <t>Open</t>
        </is>
      </c>
    </row>
    <row r="16" ht="118" customHeight="1">
      <c r="A16" s="15" t="inlineStr">
        <is>
          <t>SEO-11</t>
        </is>
      </c>
      <c r="B16" s="18" t="inlineStr">
        <is>
          <t>P2 - Medium</t>
        </is>
      </c>
      <c r="C16" s="7" t="inlineStr">
        <is>
          <t>Structured Data</t>
        </is>
      </c>
      <c r="D16" s="7" t="inlineStr">
        <is>
          <t>Breadcrumbs</t>
        </is>
      </c>
      <c r="E16" s="7" t="inlineStr">
        <is>
          <t>Category + fundraiser pages</t>
        </is>
      </c>
      <c r="F16" s="7" t="inlineStr">
        <is>
          <t>https://www.startplanting.org/explore/climate-justice</t>
        </is>
      </c>
      <c r="G16" s="7" t="inlineStr">
        <is>
          <t>No breadcrumb navigation and no BreadcrumbList schema, despite a clear three-level hierarchy (Explore &gt; Category &gt; Fundraiser).</t>
        </is>
      </c>
      <c r="H16" s="7" t="inlineStr">
        <is>
          <t>No &lt;nav aria-label='breadcrumb'&gt; in the production HTML of /explore/climate-justice or /raise/trees-for-jane. 0 ld+json blocks. A Breadcrumb UI component exists at src/components/ui/breadcrumb.tsx but is unused on public pages.</t>
        </is>
      </c>
      <c r="I16" s="7" t="inlineStr">
        <is>
          <t>Breadcrumbs were built as a UI primitive but never placed on the public routes, and no schema was emitted.</t>
        </is>
      </c>
      <c r="J16" s="7" t="inlineStr">
        <is>
          <t>src/app/(standard)/explore/[category]/page.tsx ; src/app/(fundraiser)/raise/[slug]/page.tsx ; reuse src/components/ui/breadcrumb.tsx</t>
        </is>
      </c>
      <c r="K16" s="7" t="inlineStr">
        <is>
          <t>Render a visible breadcrumb on category and fundraiser pages (Explore &gt; Climate Justice &gt; Trees for Jane) and emit a matching BreadcrumbList JSON-LD. The visible trail and the schema must list the same items in the same order.</t>
        </is>
      </c>
      <c r="L16" s="7" t="inlineStr">
        <is>
          <t>Google SERP results for category and fundraiser pages show the breadcrumb trail instead of the raw URL path; GSC &gt; Enhancements &gt; Breadcrumbs reports valid items.</t>
        </is>
      </c>
      <c r="M16" s="7" t="inlineStr">
        <is>
          <t>https://search.google.com/test/rich-results ; GSC &gt; Enhancements &gt; Breadcrumbs.</t>
        </is>
      </c>
      <c r="N16" s="7" t="inlineStr">
        <is>
          <t>Breadcrumb rich results measurably lift SERP CTR, and internal linking from fundraiser pages back up to categories spreads authority through the site.</t>
        </is>
      </c>
      <c r="O16" s="7" t="inlineStr">
        <is>
          <t>Breadcrumbs are how AI systems learn a site's information architecture and place a page in context.</t>
        </is>
      </c>
      <c r="P16" s="7" t="inlineStr">
        <is>
          <t>Fundraiser pages sit as orphans with no upward link path, so authority does not circulate back to the category hubs.</t>
        </is>
      </c>
      <c r="Q16" s="7" t="inlineStr">
        <is>
          <t>M</t>
        </is>
      </c>
      <c r="R16" s="7" t="inlineStr">
        <is>
          <t>AEO-01</t>
        </is>
      </c>
      <c r="S16" s="7" t="inlineStr"/>
      <c r="T16" s="7" t="inlineStr">
        <is>
          <t>Open</t>
        </is>
      </c>
    </row>
    <row r="17" ht="118" customHeight="1">
      <c r="A17" s="15" t="inlineStr">
        <is>
          <t>SEO-12</t>
        </is>
      </c>
      <c r="B17" s="18" t="inlineStr">
        <is>
          <t>P2 - Medium</t>
        </is>
      </c>
      <c r="C17" s="7" t="inlineStr">
        <is>
          <t>On-page SEO</t>
        </is>
      </c>
      <c r="D17" s="7" t="inlineStr">
        <is>
          <t>Titles &amp; descriptions</t>
        </is>
      </c>
      <c r="E17" s="7" t="inlineStr">
        <is>
          <t>Fundraiser detail</t>
        </is>
      </c>
      <c r="F17" s="7" t="inlineStr">
        <is>
          <t>https://www.startplanting.org/raise/trees-for-jane</t>
        </is>
      </c>
      <c r="G17" s="7" t="inlineStr">
        <is>
          <t>Meta descriptions are truncated at 200 characters, above the ~155-160 characters Google renders, so every fundraiser snippet ends mid-thought with an ellipsis.</t>
        </is>
      </c>
      <c r="H17" s="7" t="inlineStr">
        <is>
          <t>MAX_METADATA_DESCRIPTION_LENGTH = 200. Live description for Trees for Jane is 199 chars and ends '...a UN...'. Google will cut it around char 155.</t>
        </is>
      </c>
      <c r="I17" s="7" t="inlineStr">
        <is>
          <t>The constant was set to 200 without accounting for SERP rendering width.</t>
        </is>
      </c>
      <c r="J17" s="7" t="inlineStr">
        <is>
          <t>src/app/(fundraiser)/raise/[slug]/page.tsx:14 (MAX_METADATA_DESCRIPTION_LENGTH) and :17-43 (getMetadataDescription)</t>
        </is>
      </c>
      <c r="K17" s="7" t="inlineStr">
        <is>
          <t>Lower the constant to 155 and keep the existing word-boundary trim. Better: prefer a host-authored summary field if the API exposes one, and fall back to the truncated description only when it is absent. Best: prepend a generated lead such as '&lt;Title&gt; is raising &lt;goal&gt; to plant trees with Plant-for-the-Planet.' so the first sentence is always complete and informative.</t>
        </is>
      </c>
      <c r="L17" s="7" t="inlineStr">
        <is>
          <t>SERP snippets read as complete sentences; the descriptions in Screaming Frog fall in the 120-155 band with no 'over 160' warnings.</t>
        </is>
      </c>
      <c r="M17" s="7" t="inlineStr">
        <is>
          <t>Screaming Frog &gt; Meta Description &gt; 'Over 155 Characters' filter ; visually check a live SERP for site:startplanting.org/raise.</t>
        </is>
      </c>
      <c r="N17" s="7" t="inlineStr">
        <is>
          <t>A complete, benefit-led snippet raises CTR. Google rewrites truncated or unhelpful descriptions with page text, which removes editorial control of the listing.</t>
        </is>
      </c>
      <c r="O17" s="7" t="inlineStr">
        <is>
          <t>AEO strongly favours self-contained 40-60 word answers. A sentence cut mid-clause is unusable as an extractable answer.</t>
        </is>
      </c>
      <c r="P17" s="7" t="inlineStr">
        <is>
          <t>Every fundraiser listing in the SERP looks unfinished.</t>
        </is>
      </c>
      <c r="Q17" s="7" t="inlineStr">
        <is>
          <t>S</t>
        </is>
      </c>
      <c r="R17" s="7" t="inlineStr">
        <is>
          <t>-</t>
        </is>
      </c>
      <c r="S17" s="7" t="inlineStr"/>
      <c r="T17" s="7" t="inlineStr">
        <is>
          <t>Open</t>
        </is>
      </c>
    </row>
    <row r="18" ht="118" customHeight="1">
      <c r="A18" s="15" t="inlineStr">
        <is>
          <t>SEC-01</t>
        </is>
      </c>
      <c r="B18" s="18" t="inlineStr">
        <is>
          <t>P2 - Medium</t>
        </is>
      </c>
      <c r="C18" s="7" t="inlineStr">
        <is>
          <t>Security &amp; Trust</t>
        </is>
      </c>
      <c r="D18" s="7" t="inlineStr">
        <is>
          <t>Response headers</t>
        </is>
      </c>
      <c r="E18" s="7" t="inlineStr">
        <is>
          <t>Site-wide</t>
        </is>
      </c>
      <c r="F18" s="7" t="inlineStr">
        <is>
          <t>All responses</t>
        </is>
      </c>
      <c r="G18" s="7" t="inlineStr">
        <is>
          <t>No security response headers beyond HSTS. X-Content-Type-Options, Referrer-Policy, X-Frame-Options / frame-ancestors and Permissions-Policy are all absent.</t>
        </is>
      </c>
      <c r="H18" s="7" t="inlineStr">
        <is>
          <t>curl -I /explore returns only strict-transport-security: max-age=63072000. No x-content-type-options, no referrer-policy, no content-security-policy, no permissions-policy. next.config.ts has no headers() function; vercel.json has no headers block.</t>
        </is>
      </c>
      <c r="I18" s="7" t="inlineStr">
        <is>
          <t>Header configuration was never added. poweredByHeader:false is set, but nothing else.</t>
        </is>
      </c>
      <c r="J18" s="7" t="inlineStr">
        <is>
          <t>next.config.ts:9-28 (add an async headers() returning the header set)</t>
        </is>
      </c>
      <c r="K18" s="7" t="inlineStr">
        <is>
          <t>Add headers() to next.config.ts: X-Content-Type-Options: nosniff, Referrer-Policy: strict-origin-when-cross-origin, X-Frame-Options: SAMEORIGIN (or a CSP frame-ancestors directive), and a Permissions-Policy denying unused APIs. Introduce CSP in Report-Only first, since Stripe, PayPal, Auth0, Sentry and the CDN all need allowlisting.</t>
        </is>
      </c>
      <c r="L18" s="7" t="inlineStr">
        <is>
          <t>curl -I shows the new headers on every response; securityheaders.com grade moves from D/F toward A.</t>
        </is>
      </c>
      <c r="M18" s="7" t="inlineStr">
        <is>
          <t>curl -I https://www.startplanting.org/explore ; https://securityheaders.com/ ; Mozilla Observatory.</t>
        </is>
      </c>
      <c r="N18" s="7" t="inlineStr">
        <is>
          <t>Not a direct ranking factor, but Google's own guidance names security posture as a trust signal, and it is table stakes for a site that handles donations.</t>
        </is>
      </c>
      <c r="O18" s="7" t="inlineStr">
        <is>
          <t>Trustworthiness is the T in E-E-A-T, which AI systems weigh when deciding whether to cite a payment-handling site.</t>
        </is>
      </c>
      <c r="P18" s="7" t="inlineStr">
        <is>
          <t>A donation platform without basic security headers is a finding in any partner or corporate security review, which is a business risk beyond SEO.</t>
        </is>
      </c>
      <c r="Q18" s="7" t="inlineStr">
        <is>
          <t>S</t>
        </is>
      </c>
      <c r="R18" s="7" t="inlineStr">
        <is>
          <t>-</t>
        </is>
      </c>
      <c r="S18" s="7" t="inlineStr"/>
      <c r="T18" s="7" t="inlineStr">
        <is>
          <t>Open</t>
        </is>
      </c>
    </row>
    <row r="19" ht="118" customHeight="1">
      <c r="A19" s="15" t="inlineStr">
        <is>
          <t>AEO-02</t>
        </is>
      </c>
      <c r="B19" s="18" t="inlineStr">
        <is>
          <t>P2 - Medium</t>
        </is>
      </c>
      <c r="C19" s="7" t="inlineStr">
        <is>
          <t>Measurement</t>
        </is>
      </c>
      <c r="D19" s="7" t="inlineStr">
        <is>
          <t>Analytics</t>
        </is>
      </c>
      <c r="E19" s="7" t="inlineStr">
        <is>
          <t>Site-wide</t>
        </is>
      </c>
      <c r="F19" s="7" t="inlineStr">
        <is>
          <t>All pages</t>
        </is>
      </c>
      <c r="G19" s="7" t="inlineStr">
        <is>
          <t>No analytics of any kind is loaded, so AI referral traffic from ChatGPT, Perplexity and Gemini cannot be measured.</t>
        </is>
      </c>
      <c r="H19" s="7" t="inlineStr">
        <is>
          <t>grep for googletagmanager / gtag / plausible / posthog / matomo in the production HTML of /explore -&gt; zero matches. Only Sentry (error monitoring) is present.</t>
        </is>
      </c>
      <c r="I19" s="7" t="inlineStr">
        <is>
          <t>Analytics was likely deferred pending the cookie-consent stance documented in docs/cookie-consent-stance.md.</t>
        </is>
      </c>
      <c r="J19" s="7" t="inlineStr">
        <is>
          <t>src/app/layout.tsx (script placement) ; docs/cookie-consent-stance.md (decide the consent-compatible tool first)</t>
        </is>
      </c>
      <c r="K19" s="7" t="inlineStr">
        <is>
          <t>Add a cookieless, consent-friendly analytics tool (Plausible, Fathom, or Vercel Web Analytics) that fits the existing no-cookie-banner stance. Then create referrer segments for chat.openai.com, chatgpt.com, perplexity.ai, gemini.google.com and copilot.microsoft.com so AI-sourced sessions are visible as their own channel.</t>
        </is>
      </c>
      <c r="L19" s="7" t="inlineStr">
        <is>
          <t>A dashboard showing sessions by referrer, with an identifiable AI-assistant segment and per-page donation conversion.</t>
        </is>
      </c>
      <c r="M19" s="7" t="inlineStr">
        <is>
          <t>Analytics dashboard &gt; Referrers ; cross-check against GSC &gt; Performance for the search half.</t>
        </is>
      </c>
      <c r="N19" s="7" t="inlineStr">
        <is>
          <t>You cannot prioritise SEO work without traffic data. This is the measurement prerequisite for every other item in this audit.</t>
        </is>
      </c>
      <c r="O19" s="7" t="inlineStr">
        <is>
          <t>AI referral traffic is the only direct proof that AEO work is paying off. Without it, citation improvements are invisible.</t>
        </is>
      </c>
      <c r="P19" s="7" t="inlineStr">
        <is>
          <t>The whole roadmap is being run blind. Nobody can say whether any fix moved a number.</t>
        </is>
      </c>
      <c r="Q19" s="7" t="inlineStr">
        <is>
          <t>S</t>
        </is>
      </c>
      <c r="R19" s="7" t="inlineStr">
        <is>
          <t>Cookie-consent stance review</t>
        </is>
      </c>
      <c r="S19" s="7" t="inlineStr"/>
      <c r="T19" s="7" t="inlineStr">
        <is>
          <t>Open</t>
        </is>
      </c>
    </row>
    <row r="20" ht="118" customHeight="1">
      <c r="A20" s="15" t="inlineStr">
        <is>
          <t>PERF-04</t>
        </is>
      </c>
      <c r="B20" s="18" t="inlineStr">
        <is>
          <t>P2 - Medium</t>
        </is>
      </c>
      <c r="C20" s="7" t="inlineStr">
        <is>
          <t>Performance &amp; CWV</t>
        </is>
      </c>
      <c r="D20" s="7" t="inlineStr">
        <is>
          <t>Third-party origins</t>
        </is>
      </c>
      <c r="E20" s="7" t="inlineStr">
        <is>
          <t>Site-wide</t>
        </is>
      </c>
      <c r="F20" s="7" t="inlineStr">
        <is>
          <t>All pages</t>
        </is>
      </c>
      <c r="G20" s="7" t="inlineStr">
        <is>
          <t>No preconnect hints for the three external origins every page contacts: the Plant-for-the-Planet CDN, the Auth0 tenant, and Sentry.</t>
        </is>
      </c>
      <c r="H20" s="7" t="inlineStr">
        <is>
          <t>Lighthouse uses-rel-preconnect on /raise/trees-for-jane: accounts.plant-for-the-planet.org 302ms wasted, o78291.ingest.us.sentry.io 300ms wasted. The Link header preloads local fonts only.</t>
        </is>
      </c>
      <c r="I20" s="7" t="inlineStr">
        <is>
          <t>No &lt;link rel='preconnect'&gt; or dns-prefetch is emitted from the root layout.</t>
        </is>
      </c>
      <c r="J20" s="7" t="inlineStr">
        <is>
          <t>src/app/layout.tsx (add &lt;link rel='preconnect'&gt; tags in the returned JSX head area)</t>
        </is>
      </c>
      <c r="K20" s="7" t="inlineStr">
        <is>
          <t>Add preconnect for https://cdn.plant-for-the-planet.org (crossOrigin, since it serves the LCP image) and https://accounts.plant-for-the-planet.org. Use dns-prefetch rather than preconnect for Sentry, which is not on the critical path.</t>
        </is>
      </c>
      <c r="L20" s="7" t="inlineStr">
        <is>
          <t>Lighthouse uses-rel-preconnect audit passes; the Network waterfall shows connection setup overlapping with HTML parse instead of following it.</t>
        </is>
      </c>
      <c r="M20" s="7" t="inlineStr">
        <is>
          <t>Lighthouse &gt; Opportunities &gt; 'Preconnect to required origins' ; DevTools &gt; Network &gt; Connection timing.</t>
        </is>
      </c>
      <c r="N20" s="7" t="inlineStr">
        <is>
          <t>Roughly 300ms saved per third-party origin on the critical path, which feeds directly into LCP.</t>
        </is>
      </c>
      <c r="O20" s="7" t="inlineStr">
        <is>
          <t>Faster first render improves the odds that a time-boxed AI crawler captures the full page.</t>
        </is>
      </c>
      <c r="P20" s="7" t="inlineStr">
        <is>
          <t>Sub-second, but it compounds with the 10.9s LCP already measured on the donation page.</t>
        </is>
      </c>
      <c r="Q20" s="7" t="inlineStr">
        <is>
          <t>S</t>
        </is>
      </c>
      <c r="R20" s="7" t="inlineStr">
        <is>
          <t>PERF-01</t>
        </is>
      </c>
      <c r="S20" s="7" t="inlineStr"/>
      <c r="T20" s="7" t="inlineStr">
        <is>
          <t>Open</t>
        </is>
      </c>
    </row>
    <row r="21" ht="118" customHeight="1">
      <c r="A21" s="15" t="inlineStr">
        <is>
          <t>SEO-13</t>
        </is>
      </c>
      <c r="B21" s="18" t="inlineStr">
        <is>
          <t>P2 - Medium</t>
        </is>
      </c>
      <c r="C21" s="7" t="inlineStr">
        <is>
          <t>Technical SEO</t>
        </is>
      </c>
      <c r="D21" s="7" t="inlineStr">
        <is>
          <t>Icons &amp; manifest</t>
        </is>
      </c>
      <c r="E21" s="7" t="inlineStr">
        <is>
          <t>Site-wide</t>
        </is>
      </c>
      <c r="F21" s="7" t="inlineStr">
        <is>
          <t>All pages</t>
        </is>
      </c>
      <c r="G21" s="7" t="inlineStr">
        <is>
          <t>No web app manifest, no theme-color, no apple-touch-icon. The only icon is a single 256px favicon.ico.</t>
        </is>
      </c>
      <c r="H21" s="7" t="inlineStr">
        <is>
          <t>Checked /raise/trees-for-jane head: manifest MISS, theme-color MISS, apple-touch-icon MISS, application-name MISS. Only &lt;link rel='icon' href='/favicon.ico' sizes='256x256'&gt;. No src/app/manifest.ts and no public/manifest.json.</t>
        </is>
      </c>
      <c r="I21" s="7" t="inlineStr">
        <is>
          <t>The Next.js metadata files for icons and manifest were never added.</t>
        </is>
      </c>
      <c r="J21" s="7" t="inlineStr">
        <is>
          <t>CREATE src/app/manifest.ts ; ADD src/app/apple-icon.png and src/app/icon.png (Next.js file conventions)</t>
        </is>
      </c>
      <c r="K21" s="7" t="inlineStr">
        <is>
          <t>Add manifest.ts with name 'Start Planting', short_name, theme_color, background_color and the icon set. Drop apple-icon.png (180x180) and icon.png (512x512) into src/app/ so Next.js emits the correct link tags automatically.</t>
        </is>
      </c>
      <c r="L21" s="7" t="inlineStr">
        <is>
          <t>Head contains &lt;link rel='manifest'&gt;, &lt;meta name='theme-color'&gt; and &lt;link rel='apple-touch-icon'&gt;; adding the site to an iOS home screen shows a real icon rather than a screenshot.</t>
        </is>
      </c>
      <c r="M21" s="7" t="inlineStr">
        <is>
          <t>Lighthouse &gt; PWA / Installability ; DevTools &gt; Application &gt; Manifest.</t>
        </is>
      </c>
      <c r="N21" s="7" t="inlineStr">
        <is>
          <t>Minor direct SEO effect, but Google shows the favicon next to every mobile SERP result and a 256px .ico renders poorly.</t>
        </is>
      </c>
      <c r="O21" s="7" t="inlineStr">
        <is>
          <t>theme-color and manifest name reinforce the brand entity across surfaces.</t>
        </is>
      </c>
      <c r="P21" s="7" t="inlineStr">
        <is>
          <t>Mobile SERP listings and home-screen shortcuts look unpolished next to competitors.</t>
        </is>
      </c>
      <c r="Q21" s="7" t="inlineStr">
        <is>
          <t>S</t>
        </is>
      </c>
      <c r="R21" s="7" t="inlineStr">
        <is>
          <t>-</t>
        </is>
      </c>
      <c r="S21" s="7" t="inlineStr"/>
      <c r="T21" s="7" t="inlineStr">
        <is>
          <t>Open</t>
        </is>
      </c>
    </row>
    <row r="22" ht="118" customHeight="1">
      <c r="A22" s="15" t="inlineStr">
        <is>
          <t>A11Y-01</t>
        </is>
      </c>
      <c r="B22" s="18" t="inlineStr">
        <is>
          <t>P2 - Medium</t>
        </is>
      </c>
      <c r="C22" s="7" t="inlineStr">
        <is>
          <t>Accessibility</t>
        </is>
      </c>
      <c r="D22" s="7" t="inlineStr">
        <is>
          <t>Semantic markup</t>
        </is>
      </c>
      <c r="E22" s="7" t="inlineStr">
        <is>
          <t>/explore and /raise/[slug]</t>
        </is>
      </c>
      <c r="F22" s="7" t="inlineStr">
        <is>
          <t>https://www.startplanting.org/explore</t>
        </is>
      </c>
      <c r="G22" s="7" t="inlineStr">
        <is>
          <t>Three Lighthouse accessibility audits fail: list structure, definition-list items, and label/accessible-name mismatch.</t>
        </is>
      </c>
      <c r="H22" s="7" t="inlineStr">
        <is>
          <t>Lighthouse mobile /explore: Accessibility 93. Failing: 'list' (lists do not contain only &lt;li&gt; and script-supporting elements), 'dlitem' (definition list items not wrapped in &lt;dl&gt;), 'label-content-name-mismatch' (visible text labels do not match accessible names). /raise/trees-for-jane: Accessibility 97, 'list' still failing.</t>
        </is>
      </c>
      <c r="I22" s="7" t="inlineStr">
        <is>
          <t>Non-&lt;li&gt; nodes (separators, wrappers) placed inside &lt;ul&gt;, and aria-label values that do not begin with the visible button text.</t>
        </is>
      </c>
      <c r="J22" s="7" t="inlineStr">
        <is>
          <t>src/components/footer/language-selector.tsx:18-40 (the &lt;span&gt;|&lt;/span&gt; separator sits directly inside the &lt;ul&gt;) ; audit remaining &lt;ul&gt;/&lt;dl&gt; usage in src/components/explore/ and src/components/fundraisers/</t>
        </is>
      </c>
      <c r="K22" s="7" t="inlineStr">
        <is>
          <t>Move the '|' separator inside the &lt;li&gt; or render it with a CSS ::before, so the &lt;ul&gt; contains only &lt;li&gt; children. Wrap definition-style term/description pairs in a proper &lt;dl&gt;. Ensure every aria-label starts with the element's visible text.</t>
        </is>
      </c>
      <c r="L22" s="7" t="inlineStr">
        <is>
          <t>Lighthouse Accessibility reaches 100 on both templates; axe DevTools reports zero violations for list and name-mismatch rules.</t>
        </is>
      </c>
      <c r="M22" s="7" t="inlineStr">
        <is>
          <t>npx lighthouse &lt;url&gt; --only-categories=accessibility ; axe DevTools browser extension.</t>
        </is>
      </c>
      <c r="N22" s="7" t="inlineStr">
        <is>
          <t>Accessibility is not a direct ranking factor, but semantic list markup is exactly what crawlers parse to understand grouped content such as category and donor lists.</t>
        </is>
      </c>
      <c r="O22" s="7" t="inlineStr">
        <is>
          <t>Clean semantic HTML is what AI extractors rely on to identify lists, definitions and relationships. Malformed lists degrade extraction quality.</t>
        </is>
      </c>
      <c r="P22" s="7" t="inlineStr">
        <is>
          <t>Screen-reader users get an incorrect item count when navigating the language switcher and category lists. For a nonprofit this is also a values and compliance issue.</t>
        </is>
      </c>
      <c r="Q22" s="7" t="inlineStr">
        <is>
          <t>S</t>
        </is>
      </c>
      <c r="R22" s="7" t="inlineStr">
        <is>
          <t>-</t>
        </is>
      </c>
      <c r="S22" s="7" t="inlineStr"/>
      <c r="T22" s="7" t="inlineStr">
        <is>
          <t>Open</t>
        </is>
      </c>
    </row>
    <row r="23" ht="118" customHeight="1">
      <c r="A23" s="15" t="inlineStr">
        <is>
          <t>PERF-05</t>
        </is>
      </c>
      <c r="B23" s="18" t="inlineStr">
        <is>
          <t>P2 - Medium</t>
        </is>
      </c>
      <c r="C23" s="7" t="inlineStr">
        <is>
          <t>Performance &amp; CWV</t>
        </is>
      </c>
      <c r="D23" s="7" t="inlineStr">
        <is>
          <t>JavaScript</t>
        </is>
      </c>
      <c r="E23" s="7" t="inlineStr">
        <is>
          <t>Fundraiser detail</t>
        </is>
      </c>
      <c r="F23" s="7" t="inlineStr">
        <is>
          <t>https://www.startplanting.org/raise/trees-for-jane</t>
        </is>
      </c>
      <c r="G23" s="7" t="inlineStr">
        <is>
          <t>563 KiB of unused JavaScript on the fundraiser page, 3.7s of main-thread work, and Time to Interactive of 11.1s.</t>
        </is>
      </c>
      <c r="H23" s="7" t="inlineStr">
        <is>
          <t>Lighthouse mobile /raise/trees-for-jane: unused-javascript 563 KiB, mainthread-work-breakdown 3.7s, TTI 11.1s, legacy-javascript 27 KiB. /explore: unused-javascript 372 KiB, main thread 2.8s, TTI 6.9s.</t>
        </is>
      </c>
      <c r="I23" s="7" t="inlineStr">
        <is>
          <t>Stripe, PayPal, the rich-text renderer and the leaderboard all ship on first load even when the visitor has not opened the donation overlay. Both leaderboard tab panels are rendered into the HTML (32 duplicate donor rows observed on Trees for Jane).</t>
        </is>
      </c>
      <c r="J23" s="7" t="inlineStr">
        <is>
          <t>src/components/donate/* (Stripe/PayPal entry points) ; src/components/fundraisers/leaderboard/* ; src/components/ui/rich-text-content.tsx</t>
        </is>
      </c>
      <c r="K23" s="7" t="inlineStr">
        <is>
          <t>Dynamically import the payment SDKs so they load when the donation overlay opens rather than on page load. Render only the active leaderboard tab panel and fetch the other on demand. Set modularizeImports or verify tree-shaking for lucide-react icons. Re-check the bundle with @next/bundle-analyzer.</t>
        </is>
      </c>
      <c r="L23" s="7" t="inlineStr">
        <is>
          <t>First-load JS for /raise/* drops materially in the build output; Lighthouse unused-javascript savings shrink; TTI moves from 11.1s toward the 3-5s band.</t>
        </is>
      </c>
      <c r="M23" s="7" t="inlineStr">
        <is>
          <t>npm run build (check the First Load JS column) ; @next/bundle-analyzer ; Lighthouse &gt; Reduce unused JavaScript.</t>
        </is>
      </c>
      <c r="N23" s="7" t="inlineStr">
        <is>
          <t>TTI and main-thread work feed Interaction to Next Paint, a Core Web Vital since March 2024.</t>
        </is>
      </c>
      <c r="O23" s="7" t="inlineStr">
        <is>
          <t>Smaller HTML and less script mean AI crawlers reach the actual campaign content sooner and more reliably.</t>
        </is>
      </c>
      <c r="P23" s="7" t="inlineStr">
        <is>
          <t>An 11.1s TTI on the donation page means the Donate button is unresponsive for over ten seconds on a mid-tier mobile device. This is a direct revenue leak.</t>
        </is>
      </c>
      <c r="Q23" s="7" t="inlineStr">
        <is>
          <t>L</t>
        </is>
      </c>
      <c r="R23" s="7" t="inlineStr">
        <is>
          <t>-</t>
        </is>
      </c>
      <c r="S23" s="7" t="inlineStr"/>
      <c r="T23" s="7" t="inlineStr">
        <is>
          <t>Open</t>
        </is>
      </c>
    </row>
    <row r="24" ht="118" customHeight="1">
      <c r="A24" s="15" t="inlineStr">
        <is>
          <t>SEO-14</t>
        </is>
      </c>
      <c r="B24" s="18" t="inlineStr">
        <is>
          <t>P2 - Medium</t>
        </is>
      </c>
      <c r="C24" s="7" t="inlineStr">
        <is>
          <t>Content</t>
        </is>
      </c>
      <c r="D24" s="7" t="inlineStr">
        <is>
          <t>Scaffold cleanup</t>
        </is>
      </c>
      <c r="E24" s="7" t="inlineStr">
        <is>
          <t>Root route</t>
        </is>
      </c>
      <c r="F24" s="7" t="inlineStr">
        <is>
          <t>src/app/page.tsx</t>
        </is>
      </c>
      <c r="G24" s="7" t="inlineStr">
        <is>
          <t>The '/' route still ships the Next.js starter page: the Next.js logo, 'Hello, World!' and 'Welcome to our application.'</t>
        </is>
      </c>
      <c r="H24" s="7" t="inlineStr">
        <is>
          <t>src/app/page.tsx renders &lt;Image src='/next.svg'&gt; with t('greeting') and t('welcome'). locales/en/common.json &gt; Common.greeting = 'Hello, World!'. Only invisible in production because next.config.ts redirects '/' to '/explore'.</t>
        </is>
      </c>
      <c r="I24" s="7" t="inlineStr">
        <is>
          <t>Scaffold page never removed; the redirect masks it.</t>
        </is>
      </c>
      <c r="J24" s="7" t="inlineStr">
        <is>
          <t>src/app/page.tsx:1-31 ; locales/*/common.json (greeting, welcome keys) ; public/next.svg, file.svg, globe.svg, window.svg, vercel.svg</t>
        </is>
      </c>
      <c r="K24" s="7" t="inlineStr">
        <is>
          <t>Either delete the route and keep the redirect, or build a real landing page at '/' (see SEO-05, which argues for making '/' real content). Remove the unused starter SVGs from public/ and drop the greeting/welcome translation keys.</t>
        </is>
      </c>
      <c r="L24" s="7" t="inlineStr">
        <is>
          <t>No starter content remains in the repo; if the redirect is ever removed or misconfigured, visitors do not land on 'Hello, World!'.</t>
        </is>
      </c>
      <c r="M24" s="7" t="inlineStr">
        <is>
          <t>Code review ; curl https://www.startplanting.org/ with redirects disabled (curl --max-redirs 0).</t>
        </is>
      </c>
      <c r="N24" s="7" t="inlineStr">
        <is>
          <t>No current SEO effect, but it is a latent risk: one redirect misconfiguration would expose scaffold content on the brand's root URL.</t>
        </is>
      </c>
      <c r="O24" s="7" t="inlineStr">
        <is>
          <t>Same latent risk for AI crawlers, which would then describe the brand root as a placeholder app.</t>
        </is>
      </c>
      <c r="P24" s="7" t="inlineStr">
        <is>
          <t>Low today, embarrassing if the redirect ever breaks.</t>
        </is>
      </c>
      <c r="Q24" s="7" t="inlineStr">
        <is>
          <t>S</t>
        </is>
      </c>
      <c r="R24" s="7" t="inlineStr">
        <is>
          <t>SEO-05</t>
        </is>
      </c>
      <c r="S24" s="7" t="inlineStr"/>
      <c r="T24" s="7" t="inlineStr">
        <is>
          <t>Open</t>
        </is>
      </c>
    </row>
    <row r="25" ht="118" customHeight="1">
      <c r="A25" s="15" t="inlineStr">
        <is>
          <t>AEO-03</t>
        </is>
      </c>
      <c r="B25" s="19" t="inlineStr">
        <is>
          <t>P3 - Low</t>
        </is>
      </c>
      <c r="C25" s="7" t="inlineStr">
        <is>
          <t>AEO / AI visibility</t>
        </is>
      </c>
      <c r="D25" s="7" t="inlineStr">
        <is>
          <t>FAQ content</t>
        </is>
      </c>
      <c r="E25" s="7" t="inlineStr">
        <is>
          <t>Site-wide</t>
        </is>
      </c>
      <c r="F25" s="7" t="inlineStr">
        <is>
          <t>/explore, /raise/[slug]</t>
        </is>
      </c>
      <c r="G25" s="7" t="inlineStr">
        <is>
          <t>No FAQ content and no FAQPage schema anywhere, despite FAQ being the format with the highest AI citation rate.</t>
        </is>
      </c>
      <c r="H25" s="7" t="inlineStr">
        <is>
          <t>0 ld+json blocks site-wide. No FAQ section in the HTML of /explore, /explore/climate-justice or /raise/trees-for-jane. The /cookies page has strong Q-and-A style headings but carries no schema.</t>
        </is>
      </c>
      <c r="I25" s="7" t="inlineStr">
        <is>
          <t>No FAQ content has been written, and no schema layer exists to mark it up.</t>
        </is>
      </c>
      <c r="J25" s="7" t="inlineStr">
        <is>
          <t>CREATE an FAQ section component ; place on /explore and optionally per-fundraiser ; emit FAQPage JSON-LD alongside ; consider retrofitting src/app/(standard)/cookies/page.tsx first since the content already exists</t>
        </is>
      </c>
      <c r="K25" s="7" t="inlineStr">
        <is>
          <t>Write 6-10 real questions donors and hosts actually ask ('Is my donation tax-deductible?', 'How do I start a fundraiser?', 'Where do the trees get planted?', 'What fee does Start Planting take?'). Answer each in 40-60 words, self-contained, with specific numbers. Render them visibly and mirror them exactly in FAQPage JSON-LD. Match each visible H2/H3 to the schema 'name' property verbatim.</t>
        </is>
      </c>
      <c r="L25" s="7" t="inlineStr">
        <is>
          <t>Rich Results Test reports valid FAQPage; the answers become quotable blocks that ChatGPT and Perplexity can lift whole.</t>
        </is>
      </c>
      <c r="M25" s="7" t="inlineStr">
        <is>
          <t>https://search.google.com/test/rich-results ; test the questions directly in ChatGPT and Perplexity monthly and check whether startplanting.org is cited.</t>
        </is>
      </c>
      <c r="N25" s="7" t="inlineStr">
        <is>
          <t>FAQ content targets long-tail conversational queries that the current page set does not answer at all.</t>
        </is>
      </c>
      <c r="O25" s="7" t="inlineStr">
        <is>
          <t>The single highest-value AEO addition available. Self-contained 40-60 word answers are exactly the unit AI answer engines extract and cite.</t>
        </is>
      </c>
      <c r="P25" s="7" t="inlineStr">
        <is>
          <t>AI assistants answering 'how do I fundraise for tree planting' have no Start Planting content to cite and will cite GoFundMe or a competitor instead.</t>
        </is>
      </c>
      <c r="Q25" s="7" t="inlineStr">
        <is>
          <t>M</t>
        </is>
      </c>
      <c r="R25" s="7" t="inlineStr">
        <is>
          <t>AEO-01 (schema component)</t>
        </is>
      </c>
      <c r="S25" s="7" t="inlineStr"/>
      <c r="T25" s="7" t="inlineStr">
        <is>
          <t>Open</t>
        </is>
      </c>
    </row>
    <row r="26" ht="118" customHeight="1">
      <c r="A26" s="15" t="inlineStr">
        <is>
          <t>AEO-04</t>
        </is>
      </c>
      <c r="B26" s="19" t="inlineStr">
        <is>
          <t>P3 - Low</t>
        </is>
      </c>
      <c r="C26" s="7" t="inlineStr">
        <is>
          <t>AEO / AI visibility</t>
        </is>
      </c>
      <c r="D26" s="7" t="inlineStr">
        <is>
          <t>Answer-first content</t>
        </is>
      </c>
      <c r="E26" s="7" t="inlineStr">
        <is>
          <t>Fundraiser detail</t>
        </is>
      </c>
      <c r="F26" s="7" t="inlineStr">
        <is>
          <t>https://www.startplanting.org/raise/trees-for-jane</t>
        </is>
      </c>
      <c r="G26" s="7" t="inlineStr">
        <is>
          <t>No answer-first content. Fundraiser pages open with host-authored prose and no structured lead summary an AI can extract.</t>
        </is>
      </c>
      <c r="H26" s="7" t="inlineStr">
        <is>
          <t>Trees for Jane page text runs: title, raised/goal figures, 'Hosted by', then free-form host prose. There is no sentence stating what the campaign is, who runs it, where the money goes, and whether donations are tax-deductible. The visible body is dominated by 32 repeated donor rows.</t>
        </is>
      </c>
      <c r="I26" s="7" t="inlineStr">
        <is>
          <t>The page renders whatever the host wrote. No platform-generated summary block exists.</t>
        </is>
      </c>
      <c r="J26" s="7" t="inlineStr">
        <is>
          <t>src/components/fundraisers/fundraiser-view.tsx (add a summary block above DescriptionDisplay) ; src/components/fundraisers/description-display.tsx</t>
        </is>
      </c>
      <c r="K26" s="7" t="inlineStr">
        <is>
          <t>Render a platform-generated lead paragraph above the host description, assembled from data already on the page: '&lt;Title&gt; is a fundraiser hosted by &lt;Workspace&gt; on Start Planting. It has raised &lt;amount&gt; of a &lt;goal&gt; goal from &lt;n&gt; donors. Donations fund &lt;project allocations&gt;.' Keep it to 40-60 words, factual, and derived only from real fields.</t>
        </is>
      </c>
      <c r="L26" s="7" t="inlineStr">
        <is>
          <t>Every fundraiser page opens with a complete, self-contained factual summary that reads well to humans and extracts cleanly for machines.</t>
        </is>
      </c>
      <c r="M26" s="7" t="inlineStr">
        <is>
          <t>Ask ChatGPT and Perplexity 'what is the &lt;campaign name&gt; fundraiser' and check whether the answer matches the summary and cites the page.</t>
        </is>
      </c>
      <c r="N26" s="7" t="inlineStr">
        <is>
          <t>A strong opening paragraph containing the entities and numbers improves featured-snippet eligibility for campaign-name queries.</t>
        </is>
      </c>
      <c r="O26" s="7" t="inlineStr">
        <is>
          <t>This is the AEO answer-first pattern applied to the site's most important template. It turns each campaign page into a citable unit rather than raw prose.</t>
        </is>
      </c>
      <c r="P26" s="7" t="inlineStr">
        <is>
          <t>AI answers about specific campaigns are assembled from scattered fragments and are more likely to be wrong about amounts, hosts or beneficiaries.</t>
        </is>
      </c>
      <c r="Q26" s="7" t="inlineStr">
        <is>
          <t>M</t>
        </is>
      </c>
      <c r="R26" s="7" t="inlineStr">
        <is>
          <t>-</t>
        </is>
      </c>
      <c r="S26" s="7" t="inlineStr"/>
      <c r="T26" s="7" t="inlineStr">
        <is>
          <t>Open</t>
        </is>
      </c>
    </row>
    <row r="27" ht="118" customHeight="1">
      <c r="A27" s="15" t="inlineStr">
        <is>
          <t>AEO-05</t>
        </is>
      </c>
      <c r="B27" s="19" t="inlineStr">
        <is>
          <t>P3 - Low</t>
        </is>
      </c>
      <c r="C27" s="7" t="inlineStr">
        <is>
          <t>AEO / AI visibility</t>
        </is>
      </c>
      <c r="D27" s="7" t="inlineStr">
        <is>
          <t>Freshness &amp; dates</t>
        </is>
      </c>
      <c r="E27" s="7" t="inlineStr">
        <is>
          <t>Site-wide</t>
        </is>
      </c>
      <c r="F27" s="7" t="inlineStr">
        <is>
          <t>/raise/[slug], /cookies</t>
        </is>
      </c>
      <c r="G27" s="7" t="inlineStr">
        <is>
          <t>No dates rendered or marked up anywhere. No datePublished, dateModified, or visible last-updated line.</t>
        </is>
      </c>
      <c r="H27" s="7" t="inlineStr">
        <is>
          <t>No &lt;time&gt; elements and no date metadata in the HTML of /raise/trees-for-jane or /cookies. Relative labels only ('3mo ago') inside the leaderboard. 0 ld+json blocks means no dateModified either.</t>
        </is>
      </c>
      <c r="I27" s="7" t="inlineStr">
        <is>
          <t>Dates were never surfaced in the UI or the (non-existent) schema layer.</t>
        </is>
      </c>
      <c r="J27" s="7" t="inlineStr">
        <is>
          <t>src/components/fundraisers/fundraiser-view.tsx ; src/app/(standard)/cookies/page.tsx ; sitemap lastModified (see SEO-01)</t>
        </is>
      </c>
      <c r="K27" s="7" t="inlineStr">
        <is>
          <t>Surface a campaign start date and a 'last updated' line on fundraiser pages, mark them up with &lt;time datetime&gt;, and mirror them as datePublished / dateModified in the JSON-LD. Add a visible 'Last reviewed' date to the /cookies policy page. Feed the same value into the sitemap's lastModified.</t>
        </is>
      </c>
      <c r="L27" s="7" t="inlineStr">
        <is>
          <t>Fundraiser and policy pages display dates; JSON-LD carries datePublished/dateModified; sitemap lastModified reflects real edits.</t>
        </is>
      </c>
      <c r="M27" s="7" t="inlineStr">
        <is>
          <t>Rich Results Test for the date fields ; GSC &gt; Pages &gt; Last crawl date should tighten as lastModified becomes accurate.</t>
        </is>
      </c>
      <c r="N27" s="7" t="inlineStr">
        <is>
          <t>Freshness is a ranking input for time-sensitive queries, and accurate lastModified in the sitemap directs crawl budget to pages that actually changed.</t>
        </is>
      </c>
      <c r="O27" s="7" t="inlineStr">
        <is>
          <t>Google AI Overviews explicitly favour content with recent, verifiable dates. Undated content is treated as lower-confidence by every major answer engine.</t>
        </is>
      </c>
      <c r="P27" s="7" t="inlineStr">
        <is>
          <t>Archived 2022 campaigns and live 2026 campaigns look identical to a crawler, so stale content can be surfaced as current.</t>
        </is>
      </c>
      <c r="Q27" s="7" t="inlineStr">
        <is>
          <t>S</t>
        </is>
      </c>
      <c r="R27" s="7" t="inlineStr">
        <is>
          <t>AEO-01, SEO-01</t>
        </is>
      </c>
      <c r="S27" s="7" t="inlineStr"/>
      <c r="T27" s="7" t="inlineStr">
        <is>
          <t>Open</t>
        </is>
      </c>
    </row>
    <row r="28" ht="118" customHeight="1">
      <c r="A28" s="15" t="inlineStr">
        <is>
          <t>AEO-06</t>
        </is>
      </c>
      <c r="B28" s="19" t="inlineStr">
        <is>
          <t>P3 - Low</t>
        </is>
      </c>
      <c r="C28" s="7" t="inlineStr">
        <is>
          <t>AEO / AI visibility</t>
        </is>
      </c>
      <c r="D28" s="7" t="inlineStr">
        <is>
          <t>Entity &amp; authority</t>
        </is>
      </c>
      <c r="E28" s="7" t="inlineStr">
        <is>
          <t>Site-wide</t>
        </is>
      </c>
      <c r="F28" s="7" t="inlineStr">
        <is>
          <t>Whole domain</t>
        </is>
      </c>
      <c r="G28" s="7" t="inlineStr">
        <is>
          <t>No entity identity for 'Start Planting'. There is no About page, no Organization markup, no sameAs links, and no statement of who runs the platform or how it relates to Plant-for-the-Planet.</t>
        </is>
      </c>
      <c r="H28" s="7" t="inlineStr">
        <is>
          <t>No /about route in src/app/. Footer links go off-domain to plant-for-the-planet.org for privacy, terms and imprint. 0 ld+json blocks. The brand name 'Start Planting' appears only in locales/en/common.json &gt; Common.brand.name and is never rendered as an entity statement.</t>
        </is>
      </c>
      <c r="I28" s="7" t="inlineStr">
        <is>
          <t>The product was built as a tool, not as a brand with its own web presence. Every trust artefact lives on the parent domain.</t>
        </is>
      </c>
      <c r="J28" s="7" t="inlineStr">
        <is>
          <t>CREATE src/app/(standard)/about/page.tsx ; src/app/layout.tsx (Organization JSON-LD with sameAs) ; src/components/footer/config.ts (add the About link)</t>
        </is>
      </c>
      <c r="K28" s="7" t="inlineStr">
        <is>
          <t>Add an About page stating plainly what Start Planting is, that it is operated by the Plant-for-the-Planet Foundation, where it is registered, how funds flow to planting projects, and what fees apply. Add Organization JSON-LD with logo, url, parentOrganization and sameAs links to the official LinkedIn, Instagram, YouTube and X profiles. Keep the name, address and contact details identical to how they appear everywhere else on the web.</t>
        </is>
      </c>
      <c r="L28" s="7" t="inlineStr">
        <is>
          <t>A canonical 'what is Start Planting' page exists and is linked from the footer; the Organization schema validates; brand searches begin resolving to a coherent entity.</t>
        </is>
      </c>
      <c r="M28" s="7" t="inlineStr">
        <is>
          <t>Ask ChatGPT, Perplexity and Google AI Overviews 'what is Start Planting' and check the accuracy and the cited source; Google Knowledge Panel for the brand.</t>
        </is>
      </c>
      <c r="N28" s="7" t="inlineStr">
        <is>
          <t>Entity clarity underpins brand-query rankings and is a prerequisite for a knowledge panel.</t>
        </is>
      </c>
      <c r="O28" s="7" t="inlineStr">
        <is>
          <t>This is the foundational AEO gap. AI systems cannot cite an organisation they cannot identify. Right now they will either skip the brand or fold it into Plant-for-the-Planet.</t>
        </is>
      </c>
      <c r="P28" s="7" t="inlineStr">
        <is>
          <t>AI assistants asked about Start Planting will answer from third-party sources or decline. The brand has no self-authored ground truth on its own domain.</t>
        </is>
      </c>
      <c r="Q28" s="7" t="inlineStr">
        <is>
          <t>M</t>
        </is>
      </c>
      <c r="R28" s="7" t="inlineStr">
        <is>
          <t>AEO-01</t>
        </is>
      </c>
      <c r="S28" s="7" t="inlineStr"/>
      <c r="T28" s="7" t="inlineStr">
        <is>
          <t>Open</t>
        </is>
      </c>
    </row>
    <row r="29" ht="118" customHeight="1">
      <c r="A29" s="15" t="inlineStr">
        <is>
          <t>AEO-07</t>
        </is>
      </c>
      <c r="B29" s="19" t="inlineStr">
        <is>
          <t>P3 - Low</t>
        </is>
      </c>
      <c r="C29" s="7" t="inlineStr">
        <is>
          <t>AEO / AI visibility</t>
        </is>
      </c>
      <c r="D29" s="7" t="inlineStr">
        <is>
          <t>AI crawler policy</t>
        </is>
      </c>
      <c r="E29" s="7" t="inlineStr">
        <is>
          <t>Site-wide</t>
        </is>
      </c>
      <c r="F29" s="7" t="inlineStr">
        <is>
          <t>https://www.startplanting.org/robots.txt</t>
        </is>
      </c>
      <c r="G29" s="7" t="inlineStr">
        <is>
          <t>robots.txt records no position on AI crawlers, and there is no llms.txt.</t>
        </is>
      </c>
      <c r="H29" s="7" t="inlineStr">
        <is>
          <t>robots.txt contains one User-Agent: * block and no directives for GPTBot, ClaudeBot, PerplexityBot, CCBot or Google-Extended. curl /llms.txt -&gt; 404.</t>
        </is>
      </c>
      <c r="I29" s="7" t="inlineStr">
        <is>
          <t>AI crawler policy has not been considered. The wildcard rule allows them by default, but nothing is recorded as a deliberate decision.</t>
        </is>
      </c>
      <c r="J29" s="7" t="inlineStr">
        <is>
          <t>src/app/robots.ts:14-23 ; CREATE public/llms.txt or src/app/llms.txt/route.ts</t>
        </is>
      </c>
      <c r="K29" s="7" t="inlineStr">
        <is>
          <t>Decide the stance explicitly and write it down: to invite AI citation, add named allow rules for GPTBot, ClaudeBot, PerplexityBot, CCBot and Google-Extended so the intent is unambiguous. Add an llms.txt summarising what Start Planting is, listing the key URLs (explore, categories, about, FAQ) and pointing at the sitemap.</t>
        </is>
      </c>
      <c r="L29" s="7" t="inlineStr">
        <is>
          <t>robots.txt names the AI user-agents explicitly; /llms.txt returns a readable markdown summary of the site.</t>
        </is>
      </c>
      <c r="M29" s="7" t="inlineStr">
        <is>
          <t>curl https://www.startplanting.org/robots.txt and /llms.txt ; server logs filtered by those user-agent strings to confirm they are crawling.</t>
        </is>
      </c>
      <c r="N29" s="7" t="inlineStr">
        <is>
          <t>No direct SEO effect. Google-Extended controls Gemini training separately from Search indexing, so it is worth setting deliberately either way.</t>
        </is>
      </c>
      <c r="O29" s="7" t="inlineStr">
        <is>
          <t>llms.txt is an emerging convention with growing adoption. It gives AI systems a curated entry point instead of leaving them to crawl blindly.</t>
        </is>
      </c>
      <c r="P29" s="7" t="inlineStr">
        <is>
          <t>Low. The current wildcard already permits AI crawlers, so this is about making an implicit decision explicit and documented.</t>
        </is>
      </c>
      <c r="Q29" s="7" t="inlineStr">
        <is>
          <t>S</t>
        </is>
      </c>
      <c r="R29" s="7" t="inlineStr">
        <is>
          <t>AEO-06 (needs the entity description)</t>
        </is>
      </c>
      <c r="S29" s="7" t="inlineStr"/>
      <c r="T29" s="7" t="inlineStr">
        <is>
          <t>Open</t>
        </is>
      </c>
    </row>
    <row r="30" ht="118" customHeight="1">
      <c r="A30" s="15" t="inlineStr">
        <is>
          <t>SEO-15</t>
        </is>
      </c>
      <c r="B30" s="19" t="inlineStr">
        <is>
          <t>P3 - Low</t>
        </is>
      </c>
      <c r="C30" s="7" t="inlineStr">
        <is>
          <t>Content</t>
        </is>
      </c>
      <c r="D30" s="7" t="inlineStr">
        <is>
          <t>Archived campaigns</t>
        </is>
      </c>
      <c r="E30" s="7" t="inlineStr">
        <is>
          <t>Archived fundraisers</t>
        </is>
      </c>
      <c r="F30" s="7" t="inlineStr">
        <is>
          <t>https://www.startplanting.org/raise/trees-for-jane</t>
        </is>
      </c>
      <c r="G30" s="7" t="inlineStr">
        <is>
          <t>Archived campaigns stay fully indexable and look live in search results. Nothing in the metadata signals that donations are closed.</t>
        </is>
      </c>
      <c r="H30" s="7" t="inlineStr">
        <is>
          <t>Trees for Jane displays 'This fundraiser has been archived and no longer accepts new donations' in the body, but the title, description, og:type and canonical are identical to a live campaign. No robots directive, no schema status field.</t>
        </is>
      </c>
      <c r="I30" s="7" t="inlineStr">
        <is>
          <t>The archived state is a UI concern only; it never reaches generateMetadata or any structured data.</t>
        </is>
      </c>
      <c r="J30" s="7" t="inlineStr">
        <is>
          <t>src/app/(fundraiser)/raise/[slug]/page.tsx:86-112 (generateMetadata) ; src/components/fundraisers/closed-for-contribution.tsx</t>
        </is>
      </c>
      <c r="K30" s="7" t="inlineStr">
        <is>
          <t>Keep archived campaigns indexed (they carry backlinks and history) but signal the state: prefix the meta description with 'Archived campaign - ' and, once schema exists, set the DonateAction / offer availability accordingly. Add a prominent link to a live campaign or to /explore so the page routes traffic somewhere useful.</t>
        </is>
      </c>
      <c r="L30" s="7" t="inlineStr">
        <is>
          <t>SERP snippets for archived campaigns read as archived; visitors landing on them get an obvious next step rather than a dead end.</t>
        </is>
      </c>
      <c r="M30" s="7" t="inlineStr">
        <is>
          <t>Check the live SERP snippet for an archived campaign ; monitor bounce rate on archived pages once analytics exists (AEO-02).</t>
        </is>
      </c>
      <c r="N30" s="7" t="inlineStr">
        <is>
          <t>Preserves the backlink value of successful past campaigns while setting correct expectations, which improves the quality of the traffic those pages send onward.</t>
        </is>
      </c>
      <c r="O30" s="7" t="inlineStr">
        <is>
          <t>Prevents AI assistants from recommending a closed campaign as a place to donate today, which is a factual-accuracy problem, not just an SEO one.</t>
        </is>
      </c>
      <c r="P30" s="7" t="inlineStr">
        <is>
          <t>Donors arrive intending to give and find they cannot. That is a wasted, funded visit and a poor brand impression.</t>
        </is>
      </c>
      <c r="Q30" s="7" t="inlineStr">
        <is>
          <t>S</t>
        </is>
      </c>
      <c r="R30" s="7" t="inlineStr">
        <is>
          <t>AEO-01</t>
        </is>
      </c>
      <c r="S30" s="7" t="inlineStr"/>
      <c r="T30" s="7" t="inlineStr">
        <is>
          <t>Open</t>
        </is>
      </c>
    </row>
    <row r="31" ht="118" customHeight="1">
      <c r="A31" s="15" t="inlineStr">
        <is>
          <t>PERF-06</t>
        </is>
      </c>
      <c r="B31" s="19" t="inlineStr">
        <is>
          <t>P3 - Low</t>
        </is>
      </c>
      <c r="C31" s="7" t="inlineStr">
        <is>
          <t>Performance &amp; CWV</t>
        </is>
      </c>
      <c r="D31" s="7" t="inlineStr">
        <is>
          <t>HTML weight</t>
        </is>
      </c>
      <c r="E31" s="7" t="inlineStr">
        <is>
          <t>Fundraiser detail</t>
        </is>
      </c>
      <c r="F31" s="7" t="inlineStr">
        <is>
          <t>https://www.startplanting.org/raise/trees-for-jane</t>
        </is>
      </c>
      <c r="G31" s="7" t="inlineStr">
        <is>
          <t>Both leaderboard tab panels are serialised into the HTML, so the same donor rows appear twice in the source.</t>
        </is>
      </c>
      <c r="H31" s="7" t="inlineStr">
        <is>
          <t>Production HTML for /raise/trees-for-jane: 2 elements with role='tabpanel' (1 marked hidden), 32 occurrences of the same donor name, total document 222 KB.</t>
        </is>
      </c>
      <c r="I31" s="7" t="inlineStr">
        <is>
          <t>The Latest and Top leaderboard tabs are both rendered server-side; the inactive one is hidden with the HTML hidden attribute rather than not being rendered.</t>
        </is>
      </c>
      <c r="J31" s="7" t="inlineStr">
        <is>
          <t>src/components/fundraisers/leaderboard/* (tab panel rendering) ; src/components/fundraisers/leaderboard/leaderboard-server-loader.tsx</t>
        </is>
      </c>
      <c r="K31" s="7" t="inlineStr">
        <is>
          <t>Render only the active tab panel server-side and fetch the other on tab activation, or render both but cap each list to the visible rows. Google discounts content hidden behind tabs anyway, so the duplicate bytes buy nothing.</t>
        </is>
      </c>
      <c r="L31" s="7" t="inlineStr">
        <is>
          <t>HTML size for /raise/* drops noticeably; only one tabpanel appears in view-source; the visible leaderboard behaves identically.</t>
        </is>
      </c>
      <c r="M31" s="7" t="inlineStr">
        <is>
          <t>curl &lt;url&gt; | grep -c 'role="tabpanel"' -&gt; expect 1 ; compare Content-Length before and after.</t>
        </is>
      </c>
      <c r="N31" s="7" t="inlineStr">
        <is>
          <t>Smaller HTML parses faster, which helps FCP and LCP. Not a duplicate-content penalty, since both panels belong to the same page.</t>
        </is>
      </c>
      <c r="O31" s="7" t="inlineStr">
        <is>
          <t>Repetitive donor rows are noise in the extractable text. Removing them raises the signal density of the campaign description that AI systems actually want.</t>
        </is>
      </c>
      <c r="P31" s="7" t="inlineStr">
        <is>
          <t>Minor. Bundled here with PERF-05 as part of the same page-weight pass.</t>
        </is>
      </c>
      <c r="Q31" s="7" t="inlineStr">
        <is>
          <t>S</t>
        </is>
      </c>
      <c r="R31" s="7" t="inlineStr">
        <is>
          <t>PERF-05</t>
        </is>
      </c>
      <c r="S31" s="7" t="inlineStr"/>
      <c r="T31" s="7" t="inlineStr">
        <is>
          <t>Open</t>
        </is>
      </c>
    </row>
  </sheetData>
  <autoFilter ref="A1:T31"/>
  <dataValidations count="1">
    <dataValidation sqref="T2:T31" showDropDown="0" showInputMessage="0" showErrorMessage="0" allowBlank="1" type="list">
      <formula1>"Open,In Progress,Done,Won't Fix,Blocked"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workbookViewId="0">
      <pane ySplit="4" topLeftCell="A5" activePane="bottomLeft" state="frozen"/>
      <selection pane="bottomLeft" activeCell="A1" sqref="A1"/>
    </sheetView>
  </sheetViews>
  <sheetFormatPr baseColWidth="8" defaultRowHeight="15"/>
  <cols>
    <col width="34" customWidth="1" min="1" max="1"/>
    <col width="40" customWidth="1" min="2" max="2"/>
    <col width="46" customWidth="1" min="3" max="3"/>
    <col width="32" customWidth="1" min="4" max="4"/>
    <col width="11" customWidth="1" min="5" max="5"/>
    <col width="62" customWidth="1" min="6" max="6"/>
  </cols>
  <sheetData>
    <row r="1">
      <c r="A1" s="1" t="inlineStr">
        <is>
          <t>Measured baseline - 2026-08-06</t>
        </is>
      </c>
    </row>
    <row r="2">
      <c r="A2" s="2" t="inlineStr">
        <is>
          <t>Every value below was measured against production (www.startplanting.org) or read directly from source. Re-run after each phase to track movement.</t>
        </is>
      </c>
    </row>
    <row r="4" ht="34" customHeight="1">
      <c r="A4" s="14" t="inlineStr">
        <is>
          <t>Check</t>
        </is>
      </c>
      <c r="B4" s="14" t="inlineStr">
        <is>
          <t>Target</t>
        </is>
      </c>
      <c r="C4" s="14" t="inlineStr">
        <is>
          <t>Measured value</t>
        </is>
      </c>
      <c r="D4" s="14" t="inlineStr">
        <is>
          <t>Expected / target</t>
        </is>
      </c>
      <c r="E4" s="14" t="inlineStr">
        <is>
          <t>Verdict</t>
        </is>
      </c>
      <c r="F4" s="14" t="inlineStr">
        <is>
          <t>Source</t>
        </is>
      </c>
    </row>
    <row r="5" ht="30" customHeight="1">
      <c r="A5" s="7" t="inlineStr">
        <is>
          <t>Lighthouse Performance</t>
        </is>
      </c>
      <c r="B5" s="7" t="inlineStr">
        <is>
          <t>/explore (mobile)</t>
        </is>
      </c>
      <c r="C5" s="7" t="inlineStr">
        <is>
          <t>83</t>
        </is>
      </c>
      <c r="D5" s="7" t="inlineStr">
        <is>
          <t>&gt;= 90</t>
        </is>
      </c>
      <c r="E5" s="18" t="inlineStr">
        <is>
          <t>Warn</t>
        </is>
      </c>
      <c r="F5" s="7" t="inlineStr">
        <is>
          <t>Lighthouse 12 CLI, 2026-08-06</t>
        </is>
      </c>
    </row>
    <row r="6" ht="30" customHeight="1">
      <c r="A6" s="7" t="inlineStr">
        <is>
          <t>Lighthouse Performance</t>
        </is>
      </c>
      <c r="B6" s="7" t="inlineStr">
        <is>
          <t>/raise/trees-for-jane (mobile)</t>
        </is>
      </c>
      <c r="C6" s="7" t="inlineStr">
        <is>
          <t>68</t>
        </is>
      </c>
      <c r="D6" s="7" t="inlineStr">
        <is>
          <t>&gt;= 90</t>
        </is>
      </c>
      <c r="E6" s="16" t="inlineStr">
        <is>
          <t>Fail</t>
        </is>
      </c>
      <c r="F6" s="7" t="inlineStr">
        <is>
          <t>Lighthouse 12 CLI, 2026-08-06</t>
        </is>
      </c>
    </row>
    <row r="7" ht="30" customHeight="1">
      <c r="A7" s="7" t="inlineStr">
        <is>
          <t>Lighthouse Accessibility</t>
        </is>
      </c>
      <c r="B7" s="7" t="inlineStr">
        <is>
          <t>/explore (mobile)</t>
        </is>
      </c>
      <c r="C7" s="7" t="inlineStr">
        <is>
          <t>93</t>
        </is>
      </c>
      <c r="D7" s="7" t="inlineStr">
        <is>
          <t>100</t>
        </is>
      </c>
      <c r="E7" s="18" t="inlineStr">
        <is>
          <t>Warn</t>
        </is>
      </c>
      <c r="F7" s="7" t="inlineStr">
        <is>
          <t>Lighthouse 12 CLI</t>
        </is>
      </c>
    </row>
    <row r="8" ht="30" customHeight="1">
      <c r="A8" s="7" t="inlineStr">
        <is>
          <t>Lighthouse Accessibility</t>
        </is>
      </c>
      <c r="B8" s="7" t="inlineStr">
        <is>
          <t>/raise/trees-for-jane (mobile)</t>
        </is>
      </c>
      <c r="C8" s="7" t="inlineStr">
        <is>
          <t>97</t>
        </is>
      </c>
      <c r="D8" s="7" t="inlineStr">
        <is>
          <t>100</t>
        </is>
      </c>
      <c r="E8" s="18" t="inlineStr">
        <is>
          <t>Warn</t>
        </is>
      </c>
      <c r="F8" s="7" t="inlineStr">
        <is>
          <t>Lighthouse 12 CLI</t>
        </is>
      </c>
    </row>
    <row r="9" ht="30" customHeight="1">
      <c r="A9" s="7" t="inlineStr">
        <is>
          <t>Lighthouse Best Practices</t>
        </is>
      </c>
      <c r="B9" s="7" t="inlineStr">
        <is>
          <t>/explore and /raise (mobile)</t>
        </is>
      </c>
      <c r="C9" s="7" t="inlineStr">
        <is>
          <t>79</t>
        </is>
      </c>
      <c r="D9" s="7" t="inlineStr">
        <is>
          <t>&gt;= 90</t>
        </is>
      </c>
      <c r="E9" s="16" t="inlineStr">
        <is>
          <t>Fail</t>
        </is>
      </c>
      <c r="F9" s="7" t="inlineStr">
        <is>
          <t>Lighthouse 12 CLI</t>
        </is>
      </c>
    </row>
    <row r="10" ht="30" customHeight="1">
      <c r="A10" s="7" t="inlineStr">
        <is>
          <t>Lighthouse SEO</t>
        </is>
      </c>
      <c r="B10" s="7" t="inlineStr">
        <is>
          <t>/explore and /raise (mobile)</t>
        </is>
      </c>
      <c r="C10" s="7" t="inlineStr">
        <is>
          <t>100</t>
        </is>
      </c>
      <c r="D10" s="7" t="inlineStr">
        <is>
          <t>100</t>
        </is>
      </c>
      <c r="E10" s="19" t="inlineStr">
        <is>
          <t>Pass</t>
        </is>
      </c>
      <c r="F10" s="7" t="inlineStr">
        <is>
          <t>Lighthouse 12 CLI - note: this audit only checks basics and misses every P0 in this log</t>
        </is>
      </c>
    </row>
    <row r="11" ht="30" customHeight="1">
      <c r="A11" s="7" t="inlineStr">
        <is>
          <t>Largest Contentful Paint</t>
        </is>
      </c>
      <c r="B11" s="7" t="inlineStr">
        <is>
          <t>/raise/trees-for-jane (mobile)</t>
        </is>
      </c>
      <c r="C11" s="7" t="inlineStr">
        <is>
          <t>10.9 s</t>
        </is>
      </c>
      <c r="D11" s="7" t="inlineStr">
        <is>
          <t>&lt; 2.5 s</t>
        </is>
      </c>
      <c r="E11" s="16" t="inlineStr">
        <is>
          <t>Fail</t>
        </is>
      </c>
      <c r="F11" s="7" t="inlineStr">
        <is>
          <t>Lighthouse 12 CLI</t>
        </is>
      </c>
    </row>
    <row r="12" ht="30" customHeight="1">
      <c r="A12" s="7" t="inlineStr">
        <is>
          <t>Largest Contentful Paint</t>
        </is>
      </c>
      <c r="B12" s="7" t="inlineStr">
        <is>
          <t>/explore (mobile)</t>
        </is>
      </c>
      <c r="C12" s="7" t="inlineStr">
        <is>
          <t>4.5 s</t>
        </is>
      </c>
      <c r="D12" s="7" t="inlineStr">
        <is>
          <t>&lt; 2.5 s</t>
        </is>
      </c>
      <c r="E12" s="16" t="inlineStr">
        <is>
          <t>Fail</t>
        </is>
      </c>
      <c r="F12" s="7" t="inlineStr">
        <is>
          <t>Lighthouse 12 CLI</t>
        </is>
      </c>
    </row>
    <row r="13" ht="30" customHeight="1">
      <c r="A13" s="7" t="inlineStr">
        <is>
          <t>First Contentful Paint</t>
        </is>
      </c>
      <c r="B13" s="7" t="inlineStr">
        <is>
          <t>/raise/trees-for-jane (mobile)</t>
        </is>
      </c>
      <c r="C13" s="7" t="inlineStr">
        <is>
          <t>1.4 s</t>
        </is>
      </c>
      <c r="D13" s="7" t="inlineStr">
        <is>
          <t>&lt; 1.8 s</t>
        </is>
      </c>
      <c r="E13" s="19" t="inlineStr">
        <is>
          <t>Pass</t>
        </is>
      </c>
      <c r="F13" s="7" t="inlineStr">
        <is>
          <t>Lighthouse 12 CLI</t>
        </is>
      </c>
    </row>
    <row r="14" ht="30" customHeight="1">
      <c r="A14" s="7" t="inlineStr">
        <is>
          <t>Cumulative Layout Shift</t>
        </is>
      </c>
      <c r="B14" s="7" t="inlineStr">
        <is>
          <t>/raise/trees-for-jane (mobile)</t>
        </is>
      </c>
      <c r="C14" s="7" t="inlineStr">
        <is>
          <t>0</t>
        </is>
      </c>
      <c r="D14" s="7" t="inlineStr">
        <is>
          <t>&lt; 0.1</t>
        </is>
      </c>
      <c r="E14" s="19" t="inlineStr">
        <is>
          <t>Pass</t>
        </is>
      </c>
      <c r="F14" s="7" t="inlineStr">
        <is>
          <t>Lighthouse 12 CLI</t>
        </is>
      </c>
    </row>
    <row r="15" ht="30" customHeight="1">
      <c r="A15" s="7" t="inlineStr">
        <is>
          <t>Cumulative Layout Shift</t>
        </is>
      </c>
      <c r="B15" s="7" t="inlineStr">
        <is>
          <t>/explore (mobile)</t>
        </is>
      </c>
      <c r="C15" s="7" t="inlineStr">
        <is>
          <t>0.058</t>
        </is>
      </c>
      <c r="D15" s="7" t="inlineStr">
        <is>
          <t>&lt; 0.1</t>
        </is>
      </c>
      <c r="E15" s="19" t="inlineStr">
        <is>
          <t>Pass</t>
        </is>
      </c>
      <c r="F15" s="7" t="inlineStr">
        <is>
          <t>Lighthouse 12 CLI</t>
        </is>
      </c>
    </row>
    <row r="16" ht="30" customHeight="1">
      <c r="A16" s="7" t="inlineStr">
        <is>
          <t>Total Blocking Time</t>
        </is>
      </c>
      <c r="B16" s="7" t="inlineStr">
        <is>
          <t>/raise/trees-for-jane (mobile)</t>
        </is>
      </c>
      <c r="C16" s="7" t="inlineStr">
        <is>
          <t>20 ms</t>
        </is>
      </c>
      <c r="D16" s="7" t="inlineStr">
        <is>
          <t>&lt; 200 ms</t>
        </is>
      </c>
      <c r="E16" s="19" t="inlineStr">
        <is>
          <t>Pass</t>
        </is>
      </c>
      <c r="F16" s="7" t="inlineStr">
        <is>
          <t>Lighthouse 12 CLI</t>
        </is>
      </c>
    </row>
    <row r="17" ht="30" customHeight="1">
      <c r="A17" s="7" t="inlineStr">
        <is>
          <t>Time to Interactive</t>
        </is>
      </c>
      <c r="B17" s="7" t="inlineStr">
        <is>
          <t>/raise/trees-for-jane (mobile)</t>
        </is>
      </c>
      <c r="C17" s="7" t="inlineStr">
        <is>
          <t>11.1 s</t>
        </is>
      </c>
      <c r="D17" s="7" t="inlineStr">
        <is>
          <t>&lt; 3.8 s</t>
        </is>
      </c>
      <c r="E17" s="16" t="inlineStr">
        <is>
          <t>Fail</t>
        </is>
      </c>
      <c r="F17" s="7" t="inlineStr">
        <is>
          <t>Lighthouse 12 CLI</t>
        </is>
      </c>
    </row>
    <row r="18" ht="30" customHeight="1">
      <c r="A18" s="7" t="inlineStr">
        <is>
          <t>Speed Index</t>
        </is>
      </c>
      <c r="B18" s="7" t="inlineStr">
        <is>
          <t>/raise/trees-for-jane (mobile)</t>
        </is>
      </c>
      <c r="C18" s="7" t="inlineStr">
        <is>
          <t>7.1 s</t>
        </is>
      </c>
      <c r="D18" s="7" t="inlineStr">
        <is>
          <t>&lt; 3.4 s</t>
        </is>
      </c>
      <c r="E18" s="16" t="inlineStr">
        <is>
          <t>Fail</t>
        </is>
      </c>
      <c r="F18" s="7" t="inlineStr">
        <is>
          <t>Lighthouse 12 CLI</t>
        </is>
      </c>
    </row>
    <row r="19" ht="30" customHeight="1">
      <c r="A19" s="7" t="inlineStr">
        <is>
          <t>Unused JavaScript</t>
        </is>
      </c>
      <c r="B19" s="7" t="inlineStr">
        <is>
          <t>/raise/trees-for-jane</t>
        </is>
      </c>
      <c r="C19" s="7" t="inlineStr">
        <is>
          <t>563 KiB</t>
        </is>
      </c>
      <c r="D19" s="7" t="inlineStr">
        <is>
          <t>minimise</t>
        </is>
      </c>
      <c r="E19" s="16" t="inlineStr">
        <is>
          <t>Fail</t>
        </is>
      </c>
      <c r="F19" s="7" t="inlineStr">
        <is>
          <t>Lighthouse 12 CLI</t>
        </is>
      </c>
    </row>
    <row r="20" ht="30" customHeight="1">
      <c r="A20" s="7" t="inlineStr">
        <is>
          <t>Modern image formats savings</t>
        </is>
      </c>
      <c r="B20" s="7" t="inlineStr">
        <is>
          <t>/raise/trees-for-jane</t>
        </is>
      </c>
      <c r="C20" s="7" t="inlineStr">
        <is>
          <t>398 KiB</t>
        </is>
      </c>
      <c r="D20" s="7" t="inlineStr">
        <is>
          <t>0</t>
        </is>
      </c>
      <c r="E20" s="16" t="inlineStr">
        <is>
          <t>Fail</t>
        </is>
      </c>
      <c r="F20" s="7" t="inlineStr">
        <is>
          <t>Lighthouse 12 CLI</t>
        </is>
      </c>
    </row>
    <row r="21" ht="30" customHeight="1">
      <c r="A21" s="7" t="inlineStr">
        <is>
          <t>HTTP status - valid fundraiser</t>
        </is>
      </c>
      <c r="B21" s="7" t="inlineStr">
        <is>
          <t>/raise/trees-for-jane</t>
        </is>
      </c>
      <c r="C21" s="7" t="inlineStr">
        <is>
          <t>200</t>
        </is>
      </c>
      <c r="D21" s="7" t="inlineStr">
        <is>
          <t>200</t>
        </is>
      </c>
      <c r="E21" s="19" t="inlineStr">
        <is>
          <t>Pass</t>
        </is>
      </c>
      <c r="F21" s="7" t="inlineStr">
        <is>
          <t>curl</t>
        </is>
      </c>
    </row>
    <row r="22" ht="30" customHeight="1">
      <c r="A22" s="7" t="inlineStr">
        <is>
          <t>HTTP status - bogus fundraiser slug</t>
        </is>
      </c>
      <c r="B22" s="7" t="inlineStr">
        <is>
          <t>/raise/no-such-fundraiser-xyz</t>
        </is>
      </c>
      <c r="C22" s="7" t="inlineStr">
        <is>
          <t>200</t>
        </is>
      </c>
      <c r="D22" s="7" t="inlineStr">
        <is>
          <t>404</t>
        </is>
      </c>
      <c r="E22" s="16" t="inlineStr">
        <is>
          <t>Fail</t>
        </is>
      </c>
      <c r="F22" s="7" t="inlineStr">
        <is>
          <t>curl</t>
        </is>
      </c>
    </row>
    <row r="23" ht="30" customHeight="1">
      <c r="A23" s="7" t="inlineStr">
        <is>
          <t>HTTP status - bogus category</t>
        </is>
      </c>
      <c r="B23" s="7" t="inlineStr">
        <is>
          <t>/explore/not-a-real-category</t>
        </is>
      </c>
      <c r="C23" s="7" t="inlineStr">
        <is>
          <t>200</t>
        </is>
      </c>
      <c r="D23" s="7" t="inlineStr">
        <is>
          <t>404</t>
        </is>
      </c>
      <c r="E23" s="16" t="inlineStr">
        <is>
          <t>Fail</t>
        </is>
      </c>
      <c r="F23" s="7" t="inlineStr">
        <is>
          <t>curl</t>
        </is>
      </c>
    </row>
    <row r="24" ht="30" customHeight="1">
      <c r="A24" s="7" t="inlineStr">
        <is>
          <t>HTTP status - unknown path</t>
        </is>
      </c>
      <c r="B24" s="7" t="inlineStr">
        <is>
          <t>/this-page-does-not-exist-xyz</t>
        </is>
      </c>
      <c r="C24" s="7" t="inlineStr">
        <is>
          <t>404</t>
        </is>
      </c>
      <c r="D24" s="7" t="inlineStr">
        <is>
          <t>404</t>
        </is>
      </c>
      <c r="E24" s="19" t="inlineStr">
        <is>
          <t>Pass</t>
        </is>
      </c>
      <c r="F24" s="7" t="inlineStr">
        <is>
          <t>curl</t>
        </is>
      </c>
    </row>
    <row r="25" ht="30" customHeight="1">
      <c r="A25" s="7" t="inlineStr">
        <is>
          <t>HTTP status - sitemap</t>
        </is>
      </c>
      <c r="B25" s="7" t="inlineStr">
        <is>
          <t>/sitemap.xml</t>
        </is>
      </c>
      <c r="C25" s="7" t="inlineStr">
        <is>
          <t>404 (text/html)</t>
        </is>
      </c>
      <c r="D25" s="7" t="inlineStr">
        <is>
          <t>200 (application/xml)</t>
        </is>
      </c>
      <c r="E25" s="16" t="inlineStr">
        <is>
          <t>Fail</t>
        </is>
      </c>
      <c r="F25" s="7" t="inlineStr">
        <is>
          <t>curl</t>
        </is>
      </c>
    </row>
    <row r="26" ht="30" customHeight="1">
      <c r="A26" s="7" t="inlineStr">
        <is>
          <t>HTTP status - llms.txt</t>
        </is>
      </c>
      <c r="B26" s="7" t="inlineStr">
        <is>
          <t>/llms.txt</t>
        </is>
      </c>
      <c r="C26" s="7" t="inlineStr">
        <is>
          <t>404</t>
        </is>
      </c>
      <c r="D26" s="7" t="inlineStr">
        <is>
          <t>200 (optional)</t>
        </is>
      </c>
      <c r="E26" s="20" t="inlineStr">
        <is>
          <t>Info</t>
        </is>
      </c>
      <c r="F26" s="7" t="inlineStr">
        <is>
          <t>curl</t>
        </is>
      </c>
    </row>
    <row r="27" ht="30" customHeight="1">
      <c r="A27" s="7" t="inlineStr">
        <is>
          <t>Redirect chain from bare domain</t>
        </is>
      </c>
      <c r="B27" s="7" t="inlineStr">
        <is>
          <t>startplanting.org/</t>
        </is>
      </c>
      <c r="C27" s="7" t="inlineStr">
        <is>
          <t>308 -&gt; www, 307 -&gt; /explore (2 hops)</t>
        </is>
      </c>
      <c r="D27" s="7" t="inlineStr">
        <is>
          <t>1 hop, 308</t>
        </is>
      </c>
      <c r="E27" s="18" t="inlineStr">
        <is>
          <t>Warn</t>
        </is>
      </c>
      <c r="F27" s="7" t="inlineStr">
        <is>
          <t>curl -L -w num_redirects</t>
        </is>
      </c>
    </row>
    <row r="28" ht="30" customHeight="1">
      <c r="A28" s="7" t="inlineStr">
        <is>
          <t>robots.txt Sitemap directive</t>
        </is>
      </c>
      <c r="B28" s="7" t="inlineStr">
        <is>
          <t>/robots.txt</t>
        </is>
      </c>
      <c r="C28" s="7" t="inlineStr">
        <is>
          <t>absent</t>
        </is>
      </c>
      <c r="D28" s="7" t="inlineStr">
        <is>
          <t>present</t>
        </is>
      </c>
      <c r="E28" s="16" t="inlineStr">
        <is>
          <t>Fail</t>
        </is>
      </c>
      <c r="F28" s="7" t="inlineStr">
        <is>
          <t>curl</t>
        </is>
      </c>
    </row>
    <row r="29" ht="30" customHeight="1">
      <c r="A29" s="7" t="inlineStr">
        <is>
          <t>robots.txt root rule</t>
        </is>
      </c>
      <c r="B29" s="7" t="inlineStr">
        <is>
          <t>/robots.txt</t>
        </is>
      </c>
      <c r="C29" s="7" t="inlineStr">
        <is>
          <t>Disallow: /$</t>
        </is>
      </c>
      <c r="D29" s="7" t="inlineStr">
        <is>
          <t>root crawlable</t>
        </is>
      </c>
      <c r="E29" s="16" t="inlineStr">
        <is>
          <t>Fail</t>
        </is>
      </c>
      <c r="F29" s="7" t="inlineStr">
        <is>
          <t>curl</t>
        </is>
      </c>
    </row>
    <row r="30" ht="30" customHeight="1">
      <c r="A30" s="7" t="inlineStr">
        <is>
          <t>Canonical tag</t>
        </is>
      </c>
      <c r="B30" s="7" t="inlineStr">
        <is>
          <t>/explore, /explore/*, /raise/*</t>
        </is>
      </c>
      <c r="C30" s="7" t="inlineStr">
        <is>
          <t>present and self-referencing</t>
        </is>
      </c>
      <c r="D30" s="7" t="inlineStr">
        <is>
          <t>present</t>
        </is>
      </c>
      <c r="E30" s="19" t="inlineStr">
        <is>
          <t>Pass</t>
        </is>
      </c>
      <c r="F30" s="7" t="inlineStr">
        <is>
          <t>curl + HTML parse</t>
        </is>
      </c>
    </row>
    <row r="31" ht="30" customHeight="1">
      <c r="A31" s="7" t="inlineStr">
        <is>
          <t>hreflang tags</t>
        </is>
      </c>
      <c r="B31" s="7" t="inlineStr">
        <is>
          <t>all pages</t>
        </is>
      </c>
      <c r="C31" s="7" t="inlineStr">
        <is>
          <t>0 found</t>
        </is>
      </c>
      <c r="D31" s="7" t="inlineStr">
        <is>
          <t>en / de / x-default</t>
        </is>
      </c>
      <c r="E31" s="16" t="inlineStr">
        <is>
          <t>Fail</t>
        </is>
      </c>
      <c r="F31" s="7" t="inlineStr">
        <is>
          <t>curl + HTML parse</t>
        </is>
      </c>
    </row>
    <row r="32" ht="30" customHeight="1">
      <c r="A32" s="7" t="inlineStr">
        <is>
          <t>Vary: Accept-Language</t>
        </is>
      </c>
      <c r="B32" s="7" t="inlineStr">
        <is>
          <t>all pages</t>
        </is>
      </c>
      <c r="C32" s="7" t="inlineStr">
        <is>
          <t>absent (varies on rsc + next-router-* only)</t>
        </is>
      </c>
      <c r="D32" s="7" t="inlineStr">
        <is>
          <t>present while locale is header-driven</t>
        </is>
      </c>
      <c r="E32" s="16" t="inlineStr">
        <is>
          <t>Fail</t>
        </is>
      </c>
      <c r="F32" s="7" t="inlineStr">
        <is>
          <t>curl -I</t>
        </is>
      </c>
    </row>
    <row r="33" ht="30" customHeight="1">
      <c r="A33" s="7" t="inlineStr">
        <is>
          <t>Language served on one URL</t>
        </is>
      </c>
      <c r="B33" s="7" t="inlineStr">
        <is>
          <t>/explore with Accept-Language: de</t>
        </is>
      </c>
      <c r="C33" s="7" t="inlineStr">
        <is>
          <t>lang=de, German title and description, same canonical</t>
        </is>
      </c>
      <c r="D33" s="7" t="inlineStr">
        <is>
          <t>distinct URL per locale</t>
        </is>
      </c>
      <c r="E33" s="16" t="inlineStr">
        <is>
          <t>Fail</t>
        </is>
      </c>
      <c r="F33" s="7" t="inlineStr">
        <is>
          <t>curl -H Accept-Language</t>
        </is>
      </c>
    </row>
    <row r="34" ht="30" customHeight="1">
      <c r="A34" s="7" t="inlineStr">
        <is>
          <t>JSON-LD blocks</t>
        </is>
      </c>
      <c r="B34" s="7" t="inlineStr">
        <is>
          <t>/explore, /explore/*, /raise/*, /cookies</t>
        </is>
      </c>
      <c r="C34" s="7" t="inlineStr">
        <is>
          <t>0 on every page</t>
        </is>
      </c>
      <c r="D34" s="7" t="inlineStr">
        <is>
          <t>&gt;= 1 per template</t>
        </is>
      </c>
      <c r="E34" s="16" t="inlineStr">
        <is>
          <t>Fail</t>
        </is>
      </c>
      <c r="F34" s="7" t="inlineStr">
        <is>
          <t>curl + grep application/ld+json</t>
        </is>
      </c>
    </row>
    <row r="35" ht="30" customHeight="1">
      <c r="A35" s="7" t="inlineStr">
        <is>
          <t>H1 count</t>
        </is>
      </c>
      <c r="B35" s="7" t="inlineStr">
        <is>
          <t>/raise/trees-for-jane</t>
        </is>
      </c>
      <c r="C35" s="7" t="inlineStr">
        <is>
          <t>2 (both 'Trees for Jane')</t>
        </is>
      </c>
      <c r="D35" s="7" t="inlineStr">
        <is>
          <t>1</t>
        </is>
      </c>
      <c r="E35" s="16" t="inlineStr">
        <is>
          <t>Fail</t>
        </is>
      </c>
      <c r="F35" s="7" t="inlineStr">
        <is>
          <t>curl + HTML parse</t>
        </is>
      </c>
    </row>
    <row r="36" ht="30" customHeight="1">
      <c r="A36" s="7" t="inlineStr">
        <is>
          <t>H1 count</t>
        </is>
      </c>
      <c r="B36" s="7" t="inlineStr">
        <is>
          <t>/explore, /explore/climate-justice</t>
        </is>
      </c>
      <c r="C36" s="7" t="inlineStr">
        <is>
          <t>1</t>
        </is>
      </c>
      <c r="D36" s="7" t="inlineStr">
        <is>
          <t>1</t>
        </is>
      </c>
      <c r="E36" s="19" t="inlineStr">
        <is>
          <t>Pass</t>
        </is>
      </c>
      <c r="F36" s="7" t="inlineStr">
        <is>
          <t>curl + HTML parse</t>
        </is>
      </c>
    </row>
    <row r="37" ht="30" customHeight="1">
      <c r="A37" s="7" t="inlineStr">
        <is>
          <t>Title length</t>
        </is>
      </c>
      <c r="B37" s="7" t="inlineStr">
        <is>
          <t>/raise/trees-for-jane</t>
        </is>
      </c>
      <c r="C37" s="7" t="inlineStr">
        <is>
          <t>14 chars, no brand</t>
        </is>
      </c>
      <c r="D37" s="7" t="inlineStr">
        <is>
          <t>50-60 chars with brand</t>
        </is>
      </c>
      <c r="E37" s="16" t="inlineStr">
        <is>
          <t>Fail</t>
        </is>
      </c>
      <c r="F37" s="7" t="inlineStr">
        <is>
          <t>curl + HTML parse</t>
        </is>
      </c>
    </row>
    <row r="38" ht="30" customHeight="1">
      <c r="A38" s="7" t="inlineStr">
        <is>
          <t>Meta description length</t>
        </is>
      </c>
      <c r="B38" s="7" t="inlineStr">
        <is>
          <t>/raise/trees-for-jane</t>
        </is>
      </c>
      <c r="C38" s="7" t="inlineStr">
        <is>
          <t>199 chars</t>
        </is>
      </c>
      <c r="D38" s="7" t="inlineStr">
        <is>
          <t>150-160 chars</t>
        </is>
      </c>
      <c r="E38" s="18" t="inlineStr">
        <is>
          <t>Warn</t>
        </is>
      </c>
      <c r="F38" s="7" t="inlineStr">
        <is>
          <t>curl + HTML parse</t>
        </is>
      </c>
    </row>
    <row r="39" ht="30" customHeight="1">
      <c r="A39" s="7" t="inlineStr">
        <is>
          <t>og:image dimensions</t>
        </is>
      </c>
      <c r="B39" s="7" t="inlineStr">
        <is>
          <t>/explore, /explore/*</t>
        </is>
      </c>
      <c r="C39" s="7" t="inlineStr">
        <is>
          <t>600 x 314 px</t>
        </is>
      </c>
      <c r="D39" s="7" t="inlineStr">
        <is>
          <t>&gt;= 1200 x 630 px</t>
        </is>
      </c>
      <c r="E39" s="16" t="inlineStr">
        <is>
          <t>Fail</t>
        </is>
      </c>
      <c r="F39" s="7" t="inlineStr">
        <is>
          <t>curl + file(1) on the asset</t>
        </is>
      </c>
    </row>
    <row r="40" ht="30" customHeight="1">
      <c r="A40" s="7" t="inlineStr">
        <is>
          <t>og:image dimensions</t>
        </is>
      </c>
      <c r="B40" s="7" t="inlineStr">
        <is>
          <t>/raise/*</t>
        </is>
      </c>
      <c r="C40" s="7" t="inlineStr">
        <is>
          <t>1200 x 630 px (campaign image)</t>
        </is>
      </c>
      <c r="D40" s="7" t="inlineStr">
        <is>
          <t>&gt;= 1200 x 630 px</t>
        </is>
      </c>
      <c r="E40" s="19" t="inlineStr">
        <is>
          <t>Pass</t>
        </is>
      </c>
      <c r="F40" s="7" t="inlineStr">
        <is>
          <t>curl + HTML parse</t>
        </is>
      </c>
    </row>
    <row r="41" ht="30" customHeight="1">
      <c r="A41" s="7" t="inlineStr">
        <is>
          <t>og:site_name</t>
        </is>
      </c>
      <c r="B41" s="7" t="inlineStr">
        <is>
          <t>all pages</t>
        </is>
      </c>
      <c r="C41" s="7" t="inlineStr">
        <is>
          <t>absent</t>
        </is>
      </c>
      <c r="D41" s="7" t="inlineStr">
        <is>
          <t>present</t>
        </is>
      </c>
      <c r="E41" s="16" t="inlineStr">
        <is>
          <t>Fail</t>
        </is>
      </c>
      <c r="F41" s="7" t="inlineStr">
        <is>
          <t>curl + HTML parse</t>
        </is>
      </c>
    </row>
    <row r="42" ht="30" customHeight="1">
      <c r="A42" s="7" t="inlineStr">
        <is>
          <t>Image alt text</t>
        </is>
      </c>
      <c r="B42" s="7" t="inlineStr">
        <is>
          <t>/explore, /raise/*</t>
        </is>
      </c>
      <c r="C42" s="7" t="inlineStr">
        <is>
          <t>all images have descriptive alt</t>
        </is>
      </c>
      <c r="D42" s="7" t="inlineStr">
        <is>
          <t>all</t>
        </is>
      </c>
      <c r="E42" s="19" t="inlineStr">
        <is>
          <t>Pass</t>
        </is>
      </c>
      <c r="F42" s="7" t="inlineStr">
        <is>
          <t>curl + HTML parse</t>
        </is>
      </c>
    </row>
    <row r="43" ht="30" customHeight="1">
      <c r="A43" s="7" t="inlineStr">
        <is>
          <t>noindex on private routes</t>
        </is>
      </c>
      <c r="B43" s="7" t="inlineStr">
        <is>
          <t>/login, /dashboard, /fundraisers/create, /verify-email, /redirecting</t>
        </is>
      </c>
      <c r="C43" s="7" t="inlineStr">
        <is>
          <t>noindex, nofollow present</t>
        </is>
      </c>
      <c r="D43" s="7" t="inlineStr">
        <is>
          <t>present</t>
        </is>
      </c>
      <c r="E43" s="19" t="inlineStr">
        <is>
          <t>Pass</t>
        </is>
      </c>
      <c r="F43" s="7" t="inlineStr">
        <is>
          <t>curl + HTML parse</t>
        </is>
      </c>
    </row>
    <row r="44" ht="30" customHeight="1">
      <c r="A44" s="7" t="inlineStr">
        <is>
          <t>Non-public fundraiser handling</t>
        </is>
      </c>
      <c r="B44" s="7" t="inlineStr">
        <is>
          <t>raise/[slug] with visibility != public</t>
        </is>
      </c>
      <c r="C44" s="7" t="inlineStr">
        <is>
          <t>noindex, nofollow in generateMetadata</t>
        </is>
      </c>
      <c r="D44" s="7" t="inlineStr">
        <is>
          <t>noindex</t>
        </is>
      </c>
      <c r="E44" s="19" t="inlineStr">
        <is>
          <t>Pass</t>
        </is>
      </c>
      <c r="F44" s="7" t="inlineStr">
        <is>
          <t>code review: page.tsx:72-77</t>
        </is>
      </c>
    </row>
    <row r="45" ht="30" customHeight="1">
      <c r="A45" s="7" t="inlineStr">
        <is>
          <t>Non-production host handling</t>
        </is>
      </c>
      <c r="B45" s="7" t="inlineStr">
        <is>
          <t>preview and localhost</t>
        </is>
      </c>
      <c r="C45" s="7" t="inlineStr">
        <is>
          <t>X-Robots-Tag noindex via proxy.ts, robots.txt disallows all</t>
        </is>
      </c>
      <c r="D45" s="7" t="inlineStr">
        <is>
          <t>blocked</t>
        </is>
      </c>
      <c r="E45" s="19" t="inlineStr">
        <is>
          <t>Pass</t>
        </is>
      </c>
      <c r="F45" s="7" t="inlineStr">
        <is>
          <t>code review: proxy.ts, robots.ts</t>
        </is>
      </c>
    </row>
    <row r="46" ht="30" customHeight="1">
      <c r="A46" s="7" t="inlineStr">
        <is>
          <t>HTTPS + HSTS</t>
        </is>
      </c>
      <c r="B46" s="7" t="inlineStr">
        <is>
          <t>all pages</t>
        </is>
      </c>
      <c r="C46" s="7" t="inlineStr">
        <is>
          <t>HTTPS enforced, HSTS max-age 63072000</t>
        </is>
      </c>
      <c r="D46" s="7" t="inlineStr">
        <is>
          <t>present</t>
        </is>
      </c>
      <c r="E46" s="19" t="inlineStr">
        <is>
          <t>Pass</t>
        </is>
      </c>
      <c r="F46" s="7" t="inlineStr">
        <is>
          <t>curl -I</t>
        </is>
      </c>
    </row>
    <row r="47" ht="30" customHeight="1">
      <c r="A47" s="7" t="inlineStr">
        <is>
          <t>Other security headers</t>
        </is>
      </c>
      <c r="B47" s="7" t="inlineStr">
        <is>
          <t>all pages</t>
        </is>
      </c>
      <c r="C47" s="7" t="inlineStr">
        <is>
          <t>none (no nosniff, referrer-policy, frame-options, CSP)</t>
        </is>
      </c>
      <c r="D47" s="7" t="inlineStr">
        <is>
          <t>present</t>
        </is>
      </c>
      <c r="E47" s="16" t="inlineStr">
        <is>
          <t>Fail</t>
        </is>
      </c>
      <c r="F47" s="7" t="inlineStr">
        <is>
          <t>curl -I</t>
        </is>
      </c>
    </row>
    <row r="48" ht="30" customHeight="1">
      <c r="A48" s="7" t="inlineStr">
        <is>
          <t>Cache-Control on HTML</t>
        </is>
      </c>
      <c r="B48" s="7" t="inlineStr">
        <is>
          <t>all pages</t>
        </is>
      </c>
      <c r="C48" s="7" t="inlineStr">
        <is>
          <t>private, no-cache, no-store, must-revalidate</t>
        </is>
      </c>
      <c r="D48" s="7" t="inlineStr">
        <is>
          <t>cacheable for public pages</t>
        </is>
      </c>
      <c r="E48" s="16" t="inlineStr">
        <is>
          <t>Fail</t>
        </is>
      </c>
      <c r="F48" s="7" t="inlineStr">
        <is>
          <t>curl -I</t>
        </is>
      </c>
    </row>
    <row r="49" ht="30" customHeight="1">
      <c r="A49" s="7" t="inlineStr">
        <is>
          <t>Server response time</t>
        </is>
      </c>
      <c r="B49" s="7" t="inlineStr">
        <is>
          <t>/raise/trees-for-jane</t>
        </is>
      </c>
      <c r="C49" s="7" t="inlineStr">
        <is>
          <t>996 ms observed</t>
        </is>
      </c>
      <c r="D49" s="7" t="inlineStr">
        <is>
          <t>&lt; 200 ms</t>
        </is>
      </c>
      <c r="E49" s="16" t="inlineStr">
        <is>
          <t>Fail</t>
        </is>
      </c>
      <c r="F49" s="7" t="inlineStr">
        <is>
          <t>Lighthouse document-latency-insight</t>
        </is>
      </c>
    </row>
    <row r="50" ht="30" customHeight="1">
      <c r="A50" s="7" t="inlineStr">
        <is>
          <t>bfcache eligibility</t>
        </is>
      </c>
      <c r="B50" s="7" t="inlineStr">
        <is>
          <t>/raise/trees-for-jane</t>
        </is>
      </c>
      <c r="C50" s="7" t="inlineStr">
        <is>
          <t>blocked by no-store</t>
        </is>
      </c>
      <c r="D50" s="7" t="inlineStr">
        <is>
          <t>eligible</t>
        </is>
      </c>
      <c r="E50" s="16" t="inlineStr">
        <is>
          <t>Fail</t>
        </is>
      </c>
      <c r="F50" s="7" t="inlineStr">
        <is>
          <t>Lighthouse bf-cache</t>
        </is>
      </c>
    </row>
    <row r="51" ht="30" customHeight="1">
      <c r="A51" s="7" t="inlineStr">
        <is>
          <t>Analytics present</t>
        </is>
      </c>
      <c r="B51" s="7" t="inlineStr">
        <is>
          <t>all pages</t>
        </is>
      </c>
      <c r="C51" s="7" t="inlineStr">
        <is>
          <t>none (Sentry only)</t>
        </is>
      </c>
      <c r="D51" s="7" t="inlineStr">
        <is>
          <t>present</t>
        </is>
      </c>
      <c r="E51" s="16" t="inlineStr">
        <is>
          <t>Fail</t>
        </is>
      </c>
      <c r="F51" s="7" t="inlineStr">
        <is>
          <t>curl + grep</t>
        </is>
      </c>
    </row>
    <row r="52" ht="30" customHeight="1">
      <c r="A52" s="7" t="inlineStr">
        <is>
          <t>Internal links to fundraisers</t>
        </is>
      </c>
      <c r="B52" s="7" t="inlineStr">
        <is>
          <t>whole site</t>
        </is>
      </c>
      <c r="C52" s="7" t="inlineStr">
        <is>
          <t>6 unique /raise/ URLs</t>
        </is>
      </c>
      <c r="D52" s="7" t="inlineStr">
        <is>
          <t>all public campaigns</t>
        </is>
      </c>
      <c r="E52" s="16" t="inlineStr">
        <is>
          <t>Fail</t>
        </is>
      </c>
      <c r="F52" s="7" t="inlineStr">
        <is>
          <t>crawl of /explore and category pages</t>
        </is>
      </c>
    </row>
    <row r="53" ht="30" customHeight="1">
      <c r="A53" s="7" t="inlineStr">
        <is>
          <t>Categories live</t>
        </is>
      </c>
      <c r="B53" s="7" t="inlineStr">
        <is>
          <t>/explore</t>
        </is>
      </c>
      <c r="C53" s="7" t="inlineStr">
        <is>
          <t>4 (climate-justice, events, sports, tech)</t>
        </is>
      </c>
      <c r="D53" s="7" t="inlineStr">
        <is>
          <t>n/a</t>
        </is>
      </c>
      <c r="E53" s="20" t="inlineStr">
        <is>
          <t>Info</t>
        </is>
      </c>
      <c r="F53" s="7" t="inlineStr">
        <is>
          <t>curl + HTML parse</t>
        </is>
      </c>
    </row>
    <row r="54" ht="30" customHeight="1">
      <c r="A54" s="7" t="inlineStr">
        <is>
          <t>Viewport meta</t>
        </is>
      </c>
      <c r="B54" s="7" t="inlineStr">
        <is>
          <t>all pages</t>
        </is>
      </c>
      <c r="C54" s="7" t="inlineStr">
        <is>
          <t>width=device-width, initial-scale=1</t>
        </is>
      </c>
      <c r="D54" s="7" t="inlineStr">
        <is>
          <t>present</t>
        </is>
      </c>
      <c r="E54" s="19" t="inlineStr">
        <is>
          <t>Pass</t>
        </is>
      </c>
      <c r="F54" s="7" t="inlineStr">
        <is>
          <t>curl + HTML parse</t>
        </is>
      </c>
    </row>
    <row r="55" ht="30" customHeight="1">
      <c r="A55" s="7" t="inlineStr">
        <is>
          <t>html lang attribute</t>
        </is>
      </c>
      <c r="B55" s="7" t="inlineStr">
        <is>
          <t>all pages</t>
        </is>
      </c>
      <c r="C55" s="7" t="inlineStr">
        <is>
          <t>set correctly per served locale</t>
        </is>
      </c>
      <c r="D55" s="7" t="inlineStr">
        <is>
          <t>present</t>
        </is>
      </c>
      <c r="E55" s="19" t="inlineStr">
        <is>
          <t>Pass</t>
        </is>
      </c>
      <c r="F55" s="7" t="inlineStr">
        <is>
          <t>curl + HTML parse</t>
        </is>
      </c>
    </row>
    <row r="57">
      <c r="A57" s="3" t="inlineStr">
        <is>
          <t>Fail</t>
        </is>
      </c>
      <c r="B57" s="21">
        <f>COUNTIF(E5:E55,"Fail")</f>
        <v/>
      </c>
    </row>
    <row r="58">
      <c r="A58" s="3" t="inlineStr">
        <is>
          <t>Warn</t>
        </is>
      </c>
      <c r="B58" s="21">
        <f>COUNTIF(E5:E55,"Warn")</f>
        <v/>
      </c>
    </row>
    <row r="59">
      <c r="A59" s="3" t="inlineStr">
        <is>
          <t>Pass</t>
        </is>
      </c>
      <c r="B59" s="21">
        <f>COUNTIF(E5:E55,"Pass")</f>
        <v/>
      </c>
    </row>
  </sheetData>
  <autoFilter ref="A4:F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11" customWidth="1" min="1" max="1"/>
    <col width="14" customWidth="1" min="2" max="2"/>
    <col width="46" customWidth="1" min="3" max="3"/>
    <col width="26" customWidth="1" min="4" max="4"/>
    <col width="74" customWidth="1" min="5" max="5"/>
    <col width="66" customWidth="1" min="6" max="6"/>
  </cols>
  <sheetData>
    <row r="1">
      <c r="A1" s="1" t="inlineStr">
        <is>
          <t>Suggested sequence</t>
        </is>
      </c>
    </row>
    <row r="2">
      <c r="A2" s="2" t="inlineStr">
        <is>
          <t>Ordered by dependency and by harm removed per unit of effort, not by severity alone. Windows assume one engineer part-time.</t>
        </is>
      </c>
    </row>
    <row r="4" ht="34" customHeight="1">
      <c r="A4" s="14" t="inlineStr">
        <is>
          <t>Phase</t>
        </is>
      </c>
      <c r="B4" s="14" t="inlineStr">
        <is>
          <t>Window</t>
        </is>
      </c>
      <c r="C4" s="14" t="inlineStr">
        <is>
          <t>Issue IDs</t>
        </is>
      </c>
      <c r="D4" s="14" t="inlineStr">
        <is>
          <t>Theme</t>
        </is>
      </c>
      <c r="E4" s="14" t="inlineStr">
        <is>
          <t>Why this order</t>
        </is>
      </c>
      <c r="F4" s="14" t="inlineStr">
        <is>
          <t>Expected outcome</t>
        </is>
      </c>
    </row>
    <row r="5" ht="92" customHeight="1">
      <c r="A5" s="15" t="inlineStr">
        <is>
          <t>Phase 1</t>
        </is>
      </c>
      <c r="B5" s="7" t="inlineStr">
        <is>
          <t>Week 1</t>
        </is>
      </c>
      <c r="C5" s="7" t="inlineStr">
        <is>
          <t>SEO-02, SEO-03, SEO-05, PERF-01</t>
        </is>
      </c>
      <c r="D5" s="7" t="inlineStr">
        <is>
          <t>Stop the bleeding</t>
        </is>
      </c>
      <c r="E5" s="7" t="inlineStr">
        <is>
          <t>Four small, isolated changes that each remove an active harm: two soft-404 sources, a robots rule blocking the brand root, and one lazy attribute costing 8 seconds of LCP on the donation page.</t>
        </is>
      </c>
      <c r="F5" s="7" t="inlineStr">
        <is>
          <t>Correct 404 status codes, the root URL crawlable again, and fundraiser LCP down from 10.9s toward the 2.5s target.</t>
        </is>
      </c>
    </row>
    <row r="6" ht="92" customHeight="1">
      <c r="A6" s="15" t="inlineStr">
        <is>
          <t>Phase 2</t>
        </is>
      </c>
      <c r="B6" s="7" t="inlineStr">
        <is>
          <t>Weeks 1-2</t>
        </is>
      </c>
      <c r="C6" s="7" t="inlineStr">
        <is>
          <t>SEO-01, AEO-02, SEO-07, SEO-08</t>
        </is>
      </c>
      <c r="D6" s="7" t="inlineStr">
        <is>
          <t>Discovery and measurement</t>
        </is>
      </c>
      <c r="E6" s="7" t="inlineStr">
        <is>
          <t>A sitemap makes every campaign findable, and analytics makes the rest of the roadmap measurable. Titles and root metadata are cheap fixes that ride along with the same release.</t>
        </is>
      </c>
      <c r="F6" s="7" t="inlineStr">
        <is>
          <t>Full campaign catalogue submitted to Search Console; a traffic baseline exists; every page title carries the brand.</t>
        </is>
      </c>
    </row>
    <row r="7" ht="92" customHeight="1">
      <c r="A7" s="15" t="inlineStr">
        <is>
          <t>Phase 3</t>
        </is>
      </c>
      <c r="B7" s="7" t="inlineStr">
        <is>
          <t>Weeks 2-4</t>
        </is>
      </c>
      <c r="C7" s="7" t="inlineStr">
        <is>
          <t>AEO-01, SEO-11, SEO-06, SEO-09, SEO-10, SEO-12, SEC-01, SEO-13</t>
        </is>
      </c>
      <c r="D7" s="7" t="inlineStr">
        <is>
          <t>Structure and trust</t>
        </is>
      </c>
      <c r="E7" s="7" t="inlineStr">
        <is>
          <t>With crawling fixed, add the machine-readable layer: JSON-LD, breadcrumbs, a single H1, correct social cards, and security headers.</t>
        </is>
      </c>
      <c r="F7" s="7" t="inlineStr">
        <is>
          <t>Breadcrumb rich results in the SERP; valid Organization schema; a clean securityheaders.com grade.</t>
        </is>
      </c>
    </row>
    <row r="8" ht="92" customHeight="1">
      <c r="A8" s="15" t="inlineStr">
        <is>
          <t>Phase 4</t>
        </is>
      </c>
      <c r="B8" s="7" t="inlineStr">
        <is>
          <t>Weeks 4-8</t>
        </is>
      </c>
      <c r="C8" s="7" t="inlineStr">
        <is>
          <t>SEO-04</t>
        </is>
      </c>
      <c r="D8" s="7" t="inlineStr">
        <is>
          <t>Internationalisation</t>
        </is>
      </c>
      <c r="E8" s="7" t="inlineStr">
        <is>
          <t>The largest single opportunity and the largest single change. Locale-prefixed routing touches routing, metadata, the sitemap and the language switcher, so it needs its own release.</t>
        </is>
      </c>
      <c r="F8" s="7" t="inlineStr">
        <is>
          <t>German pages indexable at their own URLs with reciprocal hreflang; DE impressions appear in Search Console.</t>
        </is>
      </c>
    </row>
    <row r="9" ht="92" customHeight="1">
      <c r="A9" s="15" t="inlineStr">
        <is>
          <t>Phase 5</t>
        </is>
      </c>
      <c r="B9" s="7" t="inlineStr">
        <is>
          <t>Weeks 6-10</t>
        </is>
      </c>
      <c r="C9" s="7" t="inlineStr">
        <is>
          <t>AEO-03, AEO-04, AEO-06, AEO-05, AEO-07, SEO-15</t>
        </is>
      </c>
      <c r="D9" s="7" t="inlineStr">
        <is>
          <t>Answer Engine Optimisation</t>
        </is>
      </c>
      <c r="E9" s="7" t="inlineStr">
        <is>
          <t>Content work that depends on the schema layer from Phase 3. An About page and FAQ give AI systems something to cite; answer-first summaries and dates make it citable.</t>
        </is>
      </c>
      <c r="F9" s="7" t="inlineStr">
        <is>
          <t>Start Planting is identifiable as an entity and begins appearing in ChatGPT, Perplexity and Google AI Overview answers.</t>
        </is>
      </c>
    </row>
    <row r="10" ht="92" customHeight="1">
      <c r="A10" s="15" t="inlineStr">
        <is>
          <t>Phase 6</t>
        </is>
      </c>
      <c r="B10" s="7" t="inlineStr">
        <is>
          <t>Ongoing</t>
        </is>
      </c>
      <c r="C10" s="7" t="inlineStr">
        <is>
          <t>PERF-02, PERF-03, PERF-04, PERF-05, PERF-06, A11Y-01, SEO-14</t>
        </is>
      </c>
      <c r="D10" s="7" t="inlineStr">
        <is>
          <t>Performance and hygiene</t>
        </is>
      </c>
      <c r="E10" s="7" t="inlineStr">
        <is>
          <t>Larger refactors (caching strategy, next/image migration, bundle splitting) that need their own testing cycles and do not block anything else.</t>
        </is>
      </c>
      <c r="F10" s="7" t="inlineStr">
        <is>
          <t>Core Web Vitals green across all templates; Lighthouse Performance above 90; accessibility at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2026-08-06T06:06:44Z</dcterms:created>
  <dcterms:modified xmlns:dcterms="http://purl.org/dc/terms/" xmlns:xsi="http://www.w3.org/2001/XMLSchema-instance" xsi:type="dcterms:W3CDTF">2026-08-06T06:06:44Z</dcterms:modified>
</cp:coreProperties>
</file>